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9287bdd2a4e2459/ISO/QUALITY MANUAL/"/>
    </mc:Choice>
  </mc:AlternateContent>
  <xr:revisionPtr revIDLastSave="25" documentId="13_ncr:1_{BBC08E1C-F2E3-47FE-9B98-F9E955FB8004}" xr6:coauthVersionLast="47" xr6:coauthVersionMax="47" xr10:uidLastSave="{04092532-7B08-476B-8B73-1BDA2CCC07A5}"/>
  <bookViews>
    <workbookView xWindow="-120" yWindow="-120" windowWidth="38640" windowHeight="15720" xr2:uid="{00000000-000D-0000-FFFF-FFFF00000000}"/>
  </bookViews>
  <sheets>
    <sheet name="ITPF" sheetId="6" r:id="rId1"/>
  </sheets>
  <definedNames>
    <definedName name="_xleta.COUNT" hidden="1" xlm="1">#NAME?</definedName>
    <definedName name="PERMITS">#REF!</definedName>
    <definedName name="REQUIREMENTS">#REF!</definedName>
    <definedName name="STRUCTUR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98" i="6" l="1" a="1"/>
  <c r="K198" i="6" s="1"/>
  <c r="H198" i="6" a="1"/>
  <c r="H198" i="6" s="1"/>
  <c r="E198" i="6" a="1"/>
  <c r="E198" i="6" s="1"/>
  <c r="M198" i="6" a="1"/>
  <c r="M198" i="6" s="1"/>
  <c r="L198" i="6" a="1"/>
  <c r="L198" i="6" s="1"/>
  <c r="J4" i="6"/>
  <c r="A183" i="6" a="1"/>
  <c r="A183" i="6" s="1"/>
  <c r="B184" i="6" s="1" a="1"/>
  <c r="B184" i="6" s="1"/>
  <c r="J10" i="6"/>
  <c r="A170" i="6" a="1"/>
  <c r="A170" i="6" s="1"/>
  <c r="B171" i="6" s="1" a="1"/>
  <c r="B171" i="6" s="1"/>
  <c r="A159" i="6" a="1"/>
  <c r="A159" i="6" s="1"/>
  <c r="B160" i="6" s="1" a="1"/>
  <c r="B160" i="6" s="1"/>
  <c r="A149" i="6" a="1"/>
  <c r="A149" i="6" s="1"/>
  <c r="B150" i="6" s="1" a="1"/>
  <c r="B150" i="6" s="1"/>
  <c r="A135" i="6" a="1"/>
  <c r="A135" i="6" s="1"/>
  <c r="B136" i="6" s="1" a="1"/>
  <c r="B136" i="6" s="1"/>
  <c r="A125" i="6" a="1"/>
  <c r="A125" i="6" s="1"/>
  <c r="B126" i="6" s="1" a="1"/>
  <c r="B126" i="6" s="1"/>
  <c r="A116" i="6" a="1"/>
  <c r="A116" i="6" s="1"/>
  <c r="B117" i="6" s="1" a="1"/>
  <c r="B117" i="6" s="1"/>
  <c r="A106" i="6" a="1"/>
  <c r="A106" i="6" s="1"/>
  <c r="B107" i="6" s="1" a="1"/>
  <c r="B107" i="6" s="1"/>
  <c r="A97" i="6" a="1"/>
  <c r="A97" i="6" s="1"/>
  <c r="B98" i="6" s="1" a="1"/>
  <c r="B98" i="6" s="1"/>
  <c r="A86" i="6" a="1"/>
  <c r="A86" i="6" s="1"/>
  <c r="B87" i="6" s="1" a="1"/>
  <c r="B87" i="6" s="1"/>
  <c r="A77" i="6" a="1"/>
  <c r="A77" i="6" s="1"/>
  <c r="B78" i="6" s="1" a="1"/>
  <c r="B78" i="6" s="1"/>
  <c r="A66" i="6" a="1"/>
  <c r="A66" i="6" s="1"/>
  <c r="B67" i="6" s="1" a="1"/>
  <c r="B67" i="6" s="1"/>
  <c r="A52" i="6" a="1"/>
  <c r="A52" i="6" s="1"/>
  <c r="B53" i="6" s="1" a="1"/>
  <c r="B53" i="6" s="1"/>
  <c r="A41" i="6" a="1"/>
  <c r="A41" i="6" s="1"/>
  <c r="B42" i="6" s="1" a="1"/>
  <c r="B42" i="6" s="1"/>
  <c r="A30" i="6" a="1"/>
  <c r="A30" i="6" s="1"/>
  <c r="B31" i="6" s="1" a="1"/>
  <c r="B31" i="6" s="1"/>
  <c r="A18" i="6" a="1"/>
  <c r="A18" i="6" s="1"/>
  <c r="B19" i="6" s="1" a="1"/>
  <c r="B19" i="6" s="1"/>
  <c r="J9" i="6" l="1" a="1"/>
  <c r="J9" i="6" s="1"/>
  <c r="H13" i="6" a="1"/>
  <c r="H13" i="6" s="1"/>
  <c r="H12" i="6" a="1"/>
  <c r="H12" i="6" s="1"/>
  <c r="H11" i="6" a="1"/>
  <c r="H11" i="6" s="1"/>
  <c r="H10" i="6" a="1"/>
  <c r="H10" i="6" s="1"/>
  <c r="H9" i="6" a="1"/>
  <c r="H9" i="6" s="1"/>
  <c r="F13" i="6" a="1"/>
  <c r="F13" i="6" s="1"/>
  <c r="F12" i="6" a="1"/>
  <c r="F12" i="6" s="1"/>
  <c r="F9" i="6" a="1"/>
  <c r="F9" i="6" s="1"/>
  <c r="F11" i="6" a="1"/>
  <c r="F11" i="6" s="1"/>
  <c r="F10" i="6" a="1"/>
  <c r="F10" i="6" s="1"/>
  <c r="D12" i="6" a="1"/>
  <c r="D12" i="6" s="1"/>
  <c r="D13" i="6" a="1"/>
  <c r="D13" i="6" s="1"/>
  <c r="D11" i="6" a="1"/>
  <c r="D11" i="6" s="1"/>
  <c r="D10" i="6" a="1"/>
  <c r="D10" i="6" s="1"/>
  <c r="D9" i="6" a="1"/>
  <c r="D9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virtron bumal-o</author>
  </authors>
  <commentList>
    <comment ref="D17" authorId="0" shapeId="0" xr:uid="{7D55C47E-8BFC-4F3D-A617-F4133F1F35B6}">
      <text>
        <r>
          <rPr>
            <sz val="9"/>
            <color indexed="81"/>
            <rFont val="Tahoma"/>
            <family val="2"/>
          </rPr>
          <t>INPUT: DEVIATION FROM PROCEDURES, INCOMPLETE RECORDS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0" shapeId="0" xr:uid="{7C70C6D0-46BD-4AA5-B1CD-4B21E5F8D966}">
      <text>
        <r>
          <rPr>
            <sz val="9"/>
            <color indexed="81"/>
            <rFont val="Tahoma"/>
            <family val="2"/>
          </rPr>
          <t xml:space="preserve">NON CONFORMANCE TO QUALITY OF WORK
</t>
        </r>
      </text>
    </comment>
    <comment ref="I17" authorId="0" shapeId="0" xr:uid="{86886D72-C21F-4007-8D2E-9FD55CEAA5A3}">
      <text>
        <r>
          <rPr>
            <sz val="9"/>
            <color indexed="81"/>
            <rFont val="Tahoma"/>
            <family val="2"/>
          </rPr>
          <t>ALL PENDING RFI/RFA FROM OWNER / DESIGNER</t>
        </r>
      </text>
    </comment>
    <comment ref="D29" authorId="0" shapeId="0" xr:uid="{76D19B15-97D6-4DB5-9E28-D199F166A46A}">
      <text>
        <r>
          <rPr>
            <sz val="9"/>
            <color indexed="81"/>
            <rFont val="Tahoma"/>
            <family val="2"/>
          </rPr>
          <t>INPUT: DEVIATION FROM PROCEDURES, INCOMPLETE RECORDS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9" authorId="0" shapeId="0" xr:uid="{1347ADE9-F967-46F7-896C-B897B42B204D}">
      <text>
        <r>
          <rPr>
            <sz val="9"/>
            <color indexed="81"/>
            <rFont val="Tahoma"/>
            <family val="2"/>
          </rPr>
          <t xml:space="preserve">NON CONFORMANCE TO QUALITY OF WORK
</t>
        </r>
      </text>
    </comment>
    <comment ref="I29" authorId="0" shapeId="0" xr:uid="{4A2057D7-4E21-4EE1-A682-6C7B6DFBF022}">
      <text>
        <r>
          <rPr>
            <sz val="9"/>
            <color indexed="81"/>
            <rFont val="Tahoma"/>
            <family val="2"/>
          </rPr>
          <t>ALL PENDING RFI/RFA FROM OWNER / DESIGNER</t>
        </r>
      </text>
    </comment>
    <comment ref="D64" authorId="0" shapeId="0" xr:uid="{75770C93-554A-4985-B076-0F1888F2A2E2}">
      <text>
        <r>
          <rPr>
            <sz val="9"/>
            <color indexed="81"/>
            <rFont val="Tahoma"/>
            <family val="2"/>
          </rPr>
          <t>INPUT: DEVIATION FROM PROCEDURES, INCOMPLETE RECORDS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4" authorId="0" shapeId="0" xr:uid="{968130AE-6A26-40E8-B950-599ED04E06F6}">
      <text>
        <r>
          <rPr>
            <sz val="9"/>
            <color indexed="81"/>
            <rFont val="Tahoma"/>
            <family val="2"/>
          </rPr>
          <t xml:space="preserve">NON CONFORMANCE TO QUALITY OF WORK
</t>
        </r>
      </text>
    </comment>
    <comment ref="I64" authorId="0" shapeId="0" xr:uid="{9C7B7087-72B8-4EA5-84E0-5279F822A22E}">
      <text>
        <r>
          <rPr>
            <sz val="9"/>
            <color indexed="81"/>
            <rFont val="Tahoma"/>
            <family val="2"/>
          </rPr>
          <t>ALL PENDING RFI/RFA FROM OWNER / DESIGNER</t>
        </r>
      </text>
    </comment>
    <comment ref="D105" authorId="0" shapeId="0" xr:uid="{BC21594C-A957-4550-9A30-F5C155CC56D1}">
      <text>
        <r>
          <rPr>
            <sz val="9"/>
            <color indexed="81"/>
            <rFont val="Tahoma"/>
            <family val="2"/>
          </rPr>
          <t>INPUT: DEVIATION FROM PROCEDURES, INCOMPLETE RECORDS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05" authorId="0" shapeId="0" xr:uid="{D3CFEB33-B76A-4004-A688-5BFD876D37F3}">
      <text>
        <r>
          <rPr>
            <sz val="9"/>
            <color indexed="81"/>
            <rFont val="Tahoma"/>
            <family val="2"/>
          </rPr>
          <t xml:space="preserve">NON CONFORMANCE TO QUALITY OF WORK
</t>
        </r>
      </text>
    </comment>
    <comment ref="I105" authorId="0" shapeId="0" xr:uid="{987456DC-904E-47E3-893F-BD83AA619519}">
      <text>
        <r>
          <rPr>
            <sz val="9"/>
            <color indexed="81"/>
            <rFont val="Tahoma"/>
            <family val="2"/>
          </rPr>
          <t>ALL PENDING RFI/RFA FROM OWNER / DESIGNER</t>
        </r>
      </text>
    </comment>
    <comment ref="D124" authorId="0" shapeId="0" xr:uid="{132CA44C-5842-42B3-A870-2B081225598D}">
      <text>
        <r>
          <rPr>
            <sz val="9"/>
            <color indexed="81"/>
            <rFont val="Tahoma"/>
            <family val="2"/>
          </rPr>
          <t>INPUT: DEVIATION FROM PROCEDURES, INCOMPLETE RECORDS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24" authorId="0" shapeId="0" xr:uid="{0D681671-73E2-47B7-9561-4E9DFFEA1746}">
      <text>
        <r>
          <rPr>
            <sz val="9"/>
            <color indexed="81"/>
            <rFont val="Tahoma"/>
            <family val="2"/>
          </rPr>
          <t xml:space="preserve">NON CONFORMANCE TO QUALITY OF WORK
</t>
        </r>
      </text>
    </comment>
    <comment ref="I124" authorId="0" shapeId="0" xr:uid="{86F9A17A-4BE0-4943-B43C-2EAB1C22642F}">
      <text>
        <r>
          <rPr>
            <sz val="9"/>
            <color indexed="81"/>
            <rFont val="Tahoma"/>
            <family val="2"/>
          </rPr>
          <t>ALL PENDING RFI/RFA FROM OWNER / DESIGNER</t>
        </r>
      </text>
    </comment>
    <comment ref="D148" authorId="0" shapeId="0" xr:uid="{9325F3FD-7824-49CA-B707-ED0AFF123F77}">
      <text>
        <r>
          <rPr>
            <sz val="9"/>
            <color indexed="81"/>
            <rFont val="Tahoma"/>
            <family val="2"/>
          </rPr>
          <t>INPUT: DEVIATION FROM PROCEDURES, INCOMPLETE RECORDS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48" authorId="0" shapeId="0" xr:uid="{2E19C64A-763E-4D21-8601-84D0F45245E8}">
      <text>
        <r>
          <rPr>
            <sz val="9"/>
            <color indexed="81"/>
            <rFont val="Tahoma"/>
            <family val="2"/>
          </rPr>
          <t xml:space="preserve">NON CONFORMANCE TO QUALITY OF WORK
</t>
        </r>
      </text>
    </comment>
    <comment ref="I148" authorId="0" shapeId="0" xr:uid="{C4B34E07-5CFA-4047-952E-DFF0D7DE8951}">
      <text>
        <r>
          <rPr>
            <sz val="9"/>
            <color indexed="81"/>
            <rFont val="Tahoma"/>
            <family val="2"/>
          </rPr>
          <t>ALL PENDING RFI/RFA FROM OWNER / DESIGNER</t>
        </r>
      </text>
    </comment>
    <comment ref="D182" authorId="0" shapeId="0" xr:uid="{61C628AC-9BC6-47F1-B470-BC56DC0DDA06}">
      <text>
        <r>
          <rPr>
            <sz val="9"/>
            <color indexed="81"/>
            <rFont val="Tahoma"/>
            <family val="2"/>
          </rPr>
          <t>INPUT: DEVIATION FROM PROCEDURES, INCOMPLETE RECORDS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82" authorId="0" shapeId="0" xr:uid="{5AAC090E-EA4E-4A33-A2BB-EE344857D91E}">
      <text>
        <r>
          <rPr>
            <sz val="9"/>
            <color indexed="81"/>
            <rFont val="Tahoma"/>
            <family val="2"/>
          </rPr>
          <t xml:space="preserve">NON CONFORMANCE TO QUALITY OF WORK
</t>
        </r>
      </text>
    </comment>
    <comment ref="I182" authorId="0" shapeId="0" xr:uid="{088B2ECA-18BD-4E32-B719-39044B567267}">
      <text>
        <r>
          <rPr>
            <sz val="9"/>
            <color indexed="81"/>
            <rFont val="Tahoma"/>
            <family val="2"/>
          </rPr>
          <t>ALL PENDING RFI/RFA FROM OWNER / DESIGNER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<sst xmlns="http://schemas.openxmlformats.org/spreadsheetml/2006/main" count="1479" uniqueCount="749">
  <si>
    <t>QUALITY ASSURANCE</t>
  </si>
  <si>
    <t>CONTROL FORMS</t>
  </si>
  <si>
    <t>INSPECTION/TEST PROCEDURE</t>
  </si>
  <si>
    <t>RECORDS</t>
  </si>
  <si>
    <t>FM‐OPN‐02‐14</t>
  </si>
  <si>
    <t>S</t>
  </si>
  <si>
    <t>FM‐OPN‐02‐10</t>
  </si>
  <si>
    <t>FM‐OPN‐02‐29</t>
  </si>
  <si>
    <t>Panel Board Installation</t>
  </si>
  <si>
    <t>Clean, dry, free from dust, laitance, and loose particles</t>
  </si>
  <si>
    <t>Visual inspection</t>
  </si>
  <si>
    <t>No contaminants; surface roughness within spec</t>
  </si>
  <si>
    <t>Project Specs / Manufacturer’s Guide</t>
  </si>
  <si>
    <t>Proper alignment, secured, and sealed</t>
  </si>
  <si>
    <t>Visual and dimensional check</t>
  </si>
  <si>
    <t>No gaps; dimensions within tolerance</t>
  </si>
  <si>
    <t>Approved Shop Drawings</t>
  </si>
  <si>
    <t>Correct spacing, size, and placement</t>
  </si>
  <si>
    <t>Visual and measurement</t>
  </si>
  <si>
    <t>As per structural drawings</t>
  </si>
  <si>
    <t>Correct ratio and consistency</t>
  </si>
  <si>
    <t>Batch record / slump test</t>
  </si>
  <si>
    <t>Mix ratio per approved design; slump 75–100mm (if applicable)</t>
  </si>
  <si>
    <t>Every batch</t>
  </si>
  <si>
    <t>Uniform placement, no segregation</t>
  </si>
  <si>
    <t>Visual and level check</t>
  </si>
  <si>
    <t>Even surface; no honeycombing</t>
  </si>
  <si>
    <t>Continuous monitoring</t>
  </si>
  <si>
    <t>Method Statement</t>
  </si>
  <si>
    <t>Surface level and finish</t>
  </si>
  <si>
    <t>Straight edge / laser level</t>
  </si>
  <si>
    <t>±3mm tolerance over 3m length</t>
  </si>
  <si>
    <t>Project Specifications</t>
  </si>
  <si>
    <t>Moist curing or curing compound application</t>
  </si>
  <si>
    <t>Visual / curing log</t>
  </si>
  <si>
    <t>Minimum 7 days moist curing or as specified</t>
  </si>
  <si>
    <t>Daily during curing</t>
  </si>
  <si>
    <t>Manufacturer’s Guide / Specs</t>
  </si>
  <si>
    <t>Surface finish, cracks, levelness</t>
  </si>
  <si>
    <t>Visual / hammer tap / level test</t>
  </si>
  <si>
    <t>No cracks; level within tolerance; sound surface</t>
  </si>
  <si>
    <t>Submission of inspection records and approvals</t>
  </si>
  <si>
    <t>Document review</t>
  </si>
  <si>
    <t>Complete and signed ITP, test results, and approvals</t>
  </si>
  <si>
    <t>Once per area</t>
  </si>
  <si>
    <t>Material Delivery (CHB)</t>
  </si>
  <si>
    <t>Size, strength, appearance</t>
  </si>
  <si>
    <t>Visual / document review</t>
  </si>
  <si>
    <t>No cracks; uniform size; min. 500 psi</t>
  </si>
  <si>
    <t>Per delivery</t>
  </si>
  <si>
    <t>CHB Specs / Supplier Cert</t>
  </si>
  <si>
    <t>Mortar Mixing</t>
  </si>
  <si>
    <t>Ratio, consistency, workability</t>
  </si>
  <si>
    <t>Visual / slump test</t>
  </si>
  <si>
    <t>1:3 cement:sand; workable mix</t>
  </si>
  <si>
    <t>Per batch</t>
  </si>
  <si>
    <t>Layout and Alignment</t>
  </si>
  <si>
    <t>Wall line, plumb, level</t>
  </si>
  <si>
    <t>Measurement / visual</t>
  </si>
  <si>
    <t>Per wall section</t>
  </si>
  <si>
    <t>Approved Plans</t>
  </si>
  <si>
    <t>CHB Installation</t>
  </si>
  <si>
    <t>Bonding, joint thickness, alignment</t>
  </si>
  <si>
    <t>10mm joint; staggered bond; plumb wall</t>
  </si>
  <si>
    <t>Continuous</t>
  </si>
  <si>
    <t>Bar size, spacing, embedment</t>
  </si>
  <si>
    <t>As per structural plans; proper embedment</t>
  </si>
  <si>
    <t>Structural Plans</t>
  </si>
  <si>
    <t>Grouting of Cells</t>
  </si>
  <si>
    <t>Grout mix, completeness</t>
  </si>
  <si>
    <t>Full grout fill in reinforced cells</t>
  </si>
  <si>
    <t>Per lift</t>
  </si>
  <si>
    <t>Curing of CHB Wall</t>
  </si>
  <si>
    <t>Moisture retention, duration</t>
  </si>
  <si>
    <t>Minimum 7 days moist curing</t>
  </si>
  <si>
    <t>Daily</t>
  </si>
  <si>
    <t>Manufacturer’s Guide</t>
  </si>
  <si>
    <t>Final Inspection</t>
  </si>
  <si>
    <t>Cracks, alignment, surface finish</t>
  </si>
  <si>
    <t>No cracks; plumb and level; sound wall</t>
  </si>
  <si>
    <t>Project Specs</t>
  </si>
  <si>
    <t>Handover Documentation</t>
  </si>
  <si>
    <t>Completeness, accuracy</t>
  </si>
  <si>
    <t>Signed ITP, test results, approvals</t>
  </si>
  <si>
    <t>QAQC Manual</t>
  </si>
  <si>
    <t>Surface Preparation</t>
  </si>
  <si>
    <t>Cleanliness, dryness, bonding surface</t>
  </si>
  <si>
    <t>Surface clean, roughened or primed as required</t>
  </si>
  <si>
    <t>Material Delivery (Cement, Sand, Additives)</t>
  </si>
  <si>
    <t>Type, grade, shelf life</t>
  </si>
  <si>
    <t>Document review / visual</t>
  </si>
  <si>
    <t>Materials conform to specs; no expired stock</t>
  </si>
  <si>
    <t>Mixing of Plaster</t>
  </si>
  <si>
    <t>1:3 or as specified; workable mix</t>
  </si>
  <si>
    <t>Application of Plaster</t>
  </si>
  <si>
    <t>Thickness, bonding, uniformity</t>
  </si>
  <si>
    <t>Straight edge / caliper</t>
  </si>
  <si>
    <t>10–15mm per coat; no hollow areas</t>
  </si>
  <si>
    <t>Curing of Plaster</t>
  </si>
  <si>
    <t>Minimum 3–7 days moist curing</t>
  </si>
  <si>
    <t>Cracks, finish, levelness, adhesion</t>
  </si>
  <si>
    <t>No cracks; smooth finish; sound adhesion</t>
  </si>
  <si>
    <t>CHARACTERISTICS TO CHECK</t>
  </si>
  <si>
    <t>ACCEPTANCE CRITERIA</t>
  </si>
  <si>
    <t>FREQUENCY</t>
  </si>
  <si>
    <t>SUB CON</t>
  </si>
  <si>
    <t>GEN CON</t>
  </si>
  <si>
    <t>GENERAL REQUIREMENTS</t>
  </si>
  <si>
    <t>Scope of work, location, type of construction, applicable laws</t>
  </si>
  <si>
    <t>Checklist Review</t>
  </si>
  <si>
    <t>All required permits identified (e.g., building, zoning, fire)</t>
  </si>
  <si>
    <t>Once per project</t>
  </si>
  <si>
    <t>Building permit forms, ECC, Dole Report</t>
  </si>
  <si>
    <t>Local Building Code, Project Scope</t>
  </si>
  <si>
    <t>Completeness of forms, accuracy of drawings, supporting documents, signatures</t>
  </si>
  <si>
    <t>Document Verification</t>
  </si>
  <si>
    <t>All documents complete and accurate</t>
  </si>
  <si>
    <t>Per application</t>
  </si>
  <si>
    <t>Permit Guidelines, Application Forms</t>
  </si>
  <si>
    <t>Submission date, authority name, tracking number, receipt confirmation</t>
  </si>
  <si>
    <t>Submission Confirmation</t>
  </si>
  <si>
    <t>Submission acknowledged by authority</t>
  </si>
  <si>
    <t>Per submission</t>
  </si>
  <si>
    <t>Submission Logs, Email Confirmations</t>
  </si>
  <si>
    <t>Permit number, current status (pending/approved), follow-up actions</t>
  </si>
  <si>
    <t>Status Monitoring</t>
  </si>
  <si>
    <t>Status updated and documented weekly</t>
  </si>
  <si>
    <t>Weekly</t>
  </si>
  <si>
    <t>Permit Tracker, Communication Records</t>
  </si>
  <si>
    <t>Nature of query, response timeline, revised documents, communication logs</t>
  </si>
  <si>
    <t>Document Review</t>
  </si>
  <si>
    <t>Timely and accurate responses submitted</t>
  </si>
  <si>
    <t>As needed</t>
  </si>
  <si>
    <t>Authority Correspondence, Revised Documents</t>
  </si>
  <si>
    <t>Permit number, scope match, conditions, expiration date</t>
  </si>
  <si>
    <t>Document Check</t>
  </si>
  <si>
    <t>Permit matches scope and includes all required approvals</t>
  </si>
  <si>
    <t>Per permit</t>
  </si>
  <si>
    <t>Approved Permit Documents</t>
  </si>
  <si>
    <t>Recipient name, date of distribution, acknowledgment signature</t>
  </si>
  <si>
    <t>Distribution Log</t>
  </si>
  <si>
    <t>Site team receives and acknowledges permit documents</t>
  </si>
  <si>
    <t>Once per permit</t>
  </si>
  <si>
    <t>Distribution Records</t>
  </si>
  <si>
    <t>Visibility, weatherproofing, location (e.g., entrance, site office)</t>
  </si>
  <si>
    <t>Visual Inspection</t>
  </si>
  <si>
    <t>Permits posted in visible location as required</t>
  </si>
  <si>
    <t>Once per site setup</t>
  </si>
  <si>
    <t>Site Setup Checklist</t>
  </si>
  <si>
    <t>Filing system, backup method, accessibility, version control</t>
  </si>
  <si>
    <t>Document Audit</t>
  </si>
  <si>
    <t>All permits filed, accessible, and backed up</t>
  </si>
  <si>
    <t>Monthly</t>
  </si>
  <si>
    <t>Permit Archive, Digital Backup</t>
  </si>
  <si>
    <t>STRUCTURAL WORKS</t>
  </si>
  <si>
    <t>Bar diameter, length, grade, rust, bends, mill certificate</t>
  </si>
  <si>
    <t>Visual &amp; Certification Check</t>
  </si>
  <si>
    <t>Conforms to approved specs; free from rust, oil, and damage</t>
  </si>
  <si>
    <t>Per delivery batch</t>
  </si>
  <si>
    <t>Delivery docs</t>
  </si>
  <si>
    <t>Material Spec, Mill Certificate</t>
  </si>
  <si>
    <t>Off-ground stacking, covered storage, separation by size/grade</t>
  </si>
  <si>
    <t>Stored to prevent corrosion and contamination</t>
  </si>
  <si>
    <t>Rebar works checklist forms</t>
  </si>
  <si>
    <t>Storage Guidelines, Site QA Manual</t>
  </si>
  <si>
    <t>Bar length, bend radius, cutting tolerance</t>
  </si>
  <si>
    <t>Dimensional Check</t>
  </si>
  <si>
    <t>As per bar bending schedule (BBS); no cracks or splits</t>
  </si>
  <si>
    <t>BBS, Structural Drawings</t>
  </si>
  <si>
    <t>Cleanliness, rust, oil, paint, scale</t>
  </si>
  <si>
    <t>Surface clean and free of contaminants</t>
  </si>
  <si>
    <t>Before installation</t>
  </si>
  <si>
    <t>Rebar Handling Procedure</t>
  </si>
  <si>
    <t>Bar spacing, cover, alignment, lap length, supports</t>
  </si>
  <si>
    <t>Visual &amp; Dimensional Check</t>
  </si>
  <si>
    <t>As per drawings; cover blocks in place; ties secure</t>
  </si>
  <si>
    <t>Per structural element</t>
  </si>
  <si>
    <t>Structural Drawings, Rebar Spec</t>
  </si>
  <si>
    <t>Additional bars, trimming, anchorage</t>
  </si>
  <si>
    <t>Reinforcement provided as per approved details</t>
  </si>
  <si>
    <t>Per opening</t>
  </si>
  <si>
    <t>Opening Details, Structural Drawings</t>
  </si>
  <si>
    <t>Weld type, length, penetration, defects</t>
  </si>
  <si>
    <t>Visual &amp; NDT (if required)</t>
  </si>
  <si>
    <t>Welds meet AWS or local code; no cracks or undercuts</t>
  </si>
  <si>
    <t>Per weld</t>
  </si>
  <si>
    <t>Welding Spec, AWS D1.4</t>
  </si>
  <si>
    <t>Thread engagement, alignment, torque</t>
  </si>
  <si>
    <t>Torque Test, Visual Check</t>
  </si>
  <si>
    <t>Couplers installed per manufacturer’s spec; torque within limits</t>
  </si>
  <si>
    <t>Per connection</t>
  </si>
  <si>
    <t>Coupler Spec, Manufacturer Guidelines</t>
  </si>
  <si>
    <t>All bars in place, supports secure, no displacement</t>
  </si>
  <si>
    <t>Visual &amp; Checklist Review</t>
  </si>
  <si>
    <t>Approved by QA/QC and Engineer before concrete pour</t>
  </si>
  <si>
    <t>Before concreting</t>
  </si>
  <si>
    <t>Pre-Pour Checklist, Inspection Report</t>
  </si>
  <si>
    <t>Plywood type, timber/steel sections, release agents, form ties</t>
  </si>
  <si>
    <t>Materials conform to specs; no damage or warping</t>
  </si>
  <si>
    <t>Material Spec, Delivery Documents</t>
  </si>
  <si>
    <t>Off-ground stacking, covered storage, separation by type</t>
  </si>
  <si>
    <t>Stored to prevent moisture damage and deformation</t>
  </si>
  <si>
    <t>Alignment, dimensions, joint tightness, support spacing</t>
  </si>
  <si>
    <t>As per drawings; joints sealed; supports secure</t>
  </si>
  <si>
    <t>Structural Drawings, Formwork Spec</t>
  </si>
  <si>
    <t>Props spacing, bracing tightness, load capacity</t>
  </si>
  <si>
    <t>Visual &amp; Load Check</t>
  </si>
  <si>
    <t>Stable and secure; spacing per design; no movement under load</t>
  </si>
  <si>
    <t>Per setup</t>
  </si>
  <si>
    <t>Method Statement, Safety Guidelines</t>
  </si>
  <si>
    <t>Location, size, anchorage, sealing</t>
  </si>
  <si>
    <t>Matches drawing; securely fixed; no gaps</t>
  </si>
  <si>
    <t>Architectural Drawings, Fixture Details</t>
  </si>
  <si>
    <t>Coverage, compatibility, cleanliness</t>
  </si>
  <si>
    <t>Uniform application; no pooling or contamination</t>
  </si>
  <si>
    <t>Before concrete pour</t>
  </si>
  <si>
    <t>Manufacturer Instructions, Method Statement</t>
  </si>
  <si>
    <t>Cleanliness, alignment, dimensions, embedded items</t>
  </si>
  <si>
    <t>Concrete strength, curing time, surface finish</t>
  </si>
  <si>
    <t>Visual &amp; Timing Check</t>
  </si>
  <si>
    <t>Removal only after required strength achieved; no damage to concrete</t>
  </si>
  <si>
    <t>Per element</t>
  </si>
  <si>
    <t>Removal Guidelines, Concrete Spec</t>
  </si>
  <si>
    <t>Honeycombing, alignment, surface defects</t>
  </si>
  <si>
    <t>Surface acceptable; no major defects; ready for next stage</t>
  </si>
  <si>
    <t>Inspection Report</t>
  </si>
  <si>
    <t>QAQC manual</t>
  </si>
  <si>
    <t>Cement type, aggregates, admixtures, water source, batch tickets</t>
  </si>
  <si>
    <t>Materials conform to specs; no contamination or damage</t>
  </si>
  <si>
    <t>Cement ratio, slump, strength, admixture dosage</t>
  </si>
  <si>
    <t>Mix Design Review</t>
  </si>
  <si>
    <t>Mix design approved; meets structural and durability requirements</t>
  </si>
  <si>
    <t>Per mix design</t>
  </si>
  <si>
    <t>Mix Design Report, Project Specs</t>
  </si>
  <si>
    <t>Mixing time, uniformity, water-cement ratio</t>
  </si>
  <si>
    <t>Visual &amp; Time Check</t>
  </si>
  <si>
    <t>Uniform mix; no segregation; correct water-cement ratio</t>
  </si>
  <si>
    <t>Batching Procedure, Method Statement</t>
  </si>
  <si>
    <t>Slump height, cone shape, collapse</t>
  </si>
  <si>
    <t>Field Test</t>
  </si>
  <si>
    <t>Slump within specified range (e.g., 75–125 mm for normal workability)</t>
  </si>
  <si>
    <t>ASTM C143, Project Specs</t>
  </si>
  <si>
    <t>Pouring method, temperature, segregation, vibration</t>
  </si>
  <si>
    <t>Visual &amp; Temperature Check</t>
  </si>
  <si>
    <t>No cold joints; temperature within limits; proper compaction</t>
  </si>
  <si>
    <t>Per pour</t>
  </si>
  <si>
    <t>Pouring Procedure, Method Statement</t>
  </si>
  <si>
    <t>Sample size, curing method, labeling</t>
  </si>
  <si>
    <t>Field Sampling</t>
  </si>
  <si>
    <t>Samples taken per spec; cured properly; labeled clearly</t>
  </si>
  <si>
    <t>ASTM C31, Sampling Procedure</t>
  </si>
  <si>
    <t>Load application, failure mode, strength value</t>
  </si>
  <si>
    <t>Lab Test</t>
  </si>
  <si>
    <t>Strength meets or exceeds design requirement</t>
  </si>
  <si>
    <t>14-days &amp; 28-days</t>
  </si>
  <si>
    <t>ASTM C39, Test Report</t>
  </si>
  <si>
    <t>Honeycombing, cracks, alignment, texture</t>
  </si>
  <si>
    <t>Surface smooth; no major defects; matches architectural intent</t>
  </si>
  <si>
    <t>After setting</t>
  </si>
  <si>
    <t>Finishing Spec, Inspection Checklist</t>
  </si>
  <si>
    <t>Moisture retention, coverage, curing duration</t>
  </si>
  <si>
    <t>Curing maintained as per spec (e.g., 7 days for normal concrete)</t>
  </si>
  <si>
    <t>Daily (min 7 days)</t>
  </si>
  <si>
    <t>Curing Guidelines, Method Statement</t>
  </si>
  <si>
    <t>As-built drawings, test reports, surface condition</t>
  </si>
  <si>
    <t>Visual &amp; Document Review</t>
  </si>
  <si>
    <t>All documentation complete; concrete meets design and finish criteria</t>
  </si>
  <si>
    <t>Once per element</t>
  </si>
  <si>
    <t>As-built Drawings, Handover Checklist</t>
  </si>
  <si>
    <t>ARCHITECTURAL WORKS</t>
  </si>
  <si>
    <t>Test results</t>
  </si>
  <si>
    <t>X</t>
  </si>
  <si>
    <t>W</t>
  </si>
  <si>
    <t>Masonry works checklist</t>
  </si>
  <si>
    <t>±3mm tolerance; vert and hor alignment</t>
  </si>
  <si>
    <t>H</t>
  </si>
  <si>
    <t>Once after turnover</t>
  </si>
  <si>
    <t>Delivery Receipt</t>
  </si>
  <si>
    <t xml:space="preserve">Material Specs </t>
  </si>
  <si>
    <t>Topping works checklist</t>
  </si>
  <si>
    <t>Reinforcement Details</t>
  </si>
  <si>
    <t xml:space="preserve">QAQC Manual </t>
  </si>
  <si>
    <t>Surface dryness and cleanliness, Levelness and slope, Curing status of substrate</t>
  </si>
  <si>
    <t>Visual &amp; dimensional check</t>
  </si>
  <si>
    <t>±3 mm level tolerance, No dust, oil, laitance</t>
  </si>
  <si>
    <t>Once per area before tiling</t>
  </si>
  <si>
    <t>Tile works checklist</t>
  </si>
  <si>
    <t>FM‐OPN‐02‐15</t>
  </si>
  <si>
    <t>Method Statement for Tiling</t>
  </si>
  <si>
    <t>Tile type, size, batch number, Expiry date of adhesive/grout, Manufacturer’s compliance</t>
  </si>
  <si>
    <t>Verification &amp; documentation</t>
  </si>
  <si>
    <t>As per approved submittals, No damage or mismatch</t>
  </si>
  <si>
    <t>Grid accuracy , Expansion/control joints , Symmetry and aesthetics</t>
  </si>
  <si>
    <t>Visual check &amp; measurement</t>
  </si>
  <si>
    <t>As per shop drawings , Joints aligned and spaced</t>
  </si>
  <si>
    <t>Once per room/zone</t>
  </si>
  <si>
    <t>Adhesive coverage (≥90%) , Tile bond strength , Joint width uniformity , Lippage control</t>
  </si>
  <si>
    <t>Random sampling &amp; supervision</t>
  </si>
  <si>
    <t>No hollow tiles , Max lippage: 1 mm for walls, 2 mm for floors</t>
  </si>
  <si>
    <t>Daily or per 20 m²</t>
  </si>
  <si>
    <t>Grout consistency , Joint fill completeness , Color uniformity , No cracks or pinholes</t>
  </si>
  <si>
    <t>Visual &amp; adhesion test</t>
  </si>
  <si>
    <t>Smooth, even joints , No shrinkage or discoloration</t>
  </si>
  <si>
    <t>Per area after curing</t>
  </si>
  <si>
    <t>Surface finish and sheen , No stains or adhesive residue , Edge trims and skirting , Drainage slope (wet areas)</t>
  </si>
  <si>
    <t>Punch list &amp; checklist</t>
  </si>
  <si>
    <t>No visible defects , Falls to floor waste: 1–2% slope</t>
  </si>
  <si>
    <t>Once per completed room/zone</t>
  </si>
  <si>
    <t>CAPA-weekly inspection report</t>
  </si>
  <si>
    <t>PLUMBING SANITARY WORKS</t>
  </si>
  <si>
    <t>Type of fixtures, accessories, manufacturer certificate, damage-free condition</t>
  </si>
  <si>
    <t>Materials conform to specs; no visible damage</t>
  </si>
  <si>
    <t>Delivery Documents</t>
  </si>
  <si>
    <t>Material Spec</t>
  </si>
  <si>
    <t>Fixture locations, pipe routes, spacing, accessibility</t>
  </si>
  <si>
    <t>Markings match approved drawings and ergonomic standards</t>
  </si>
  <si>
    <t>Per room/area</t>
  </si>
  <si>
    <t>flow test checklist form</t>
  </si>
  <si>
    <t>Sanitary Layout Drawings</t>
  </si>
  <si>
    <t>Pipe slope, alignment, support spacing, joint sealing</t>
  </si>
  <si>
    <t>Visual &amp; Slope Measurement</t>
  </si>
  <si>
    <t>Slope within design tolerance; joints sealed and aligned</t>
  </si>
  <si>
    <t>Per installed section</t>
  </si>
  <si>
    <t>Drainage Spec, Local Code</t>
  </si>
  <si>
    <t>Mounting height, alignment, water flow, drainage, sealing</t>
  </si>
  <si>
    <t>Visual &amp; Functional Check</t>
  </si>
  <si>
    <t>Fixtures securely mounted; functional and leak-free</t>
  </si>
  <si>
    <t>Per fixture</t>
  </si>
  <si>
    <t>Manufacturer Instructions</t>
  </si>
  <si>
    <t>Test pressure, duration, leakage observation</t>
  </si>
  <si>
    <t>Pressure Test</t>
  </si>
  <si>
    <t>No leaks; pressure maintained for required duration</t>
  </si>
  <si>
    <t>Per system segment</t>
  </si>
  <si>
    <t>Pressure Test Procedure, Local Code</t>
  </si>
  <si>
    <t>Flow test, air pressure, visual inspection</t>
  </si>
  <si>
    <t>Water or Air Test</t>
  </si>
  <si>
    <t>No leaks; flow unobstructed; air pressure holds</t>
  </si>
  <si>
    <t>Drainage Test Procedure, Local Code</t>
  </si>
  <si>
    <t>Coverage, adhesion, cleanliness</t>
  </si>
  <si>
    <t>Sealant applied neatly and fully around fixture edges</t>
  </si>
  <si>
    <t>Manufacturer Instructions, Finishing Spec</t>
  </si>
  <si>
    <t>As-built drawings, test reports, fixture operation</t>
  </si>
  <si>
    <t>System matches design; all fixtures operational</t>
  </si>
  <si>
    <t>Once per system</t>
  </si>
  <si>
    <t>Pipe type, fittings, valves, insulation, manufacturer certificate</t>
  </si>
  <si>
    <t>Materials conform to specs; no damage or defects</t>
  </si>
  <si>
    <t>Pipe routing, slope, support spacing, fixture locations</t>
  </si>
  <si>
    <t>Pipes installed per drawings; slope within tolerance; securely supported</t>
  </si>
  <si>
    <t>Before concealment</t>
  </si>
  <si>
    <t xml:space="preserve">Leak test checklist </t>
  </si>
  <si>
    <t>Plumbing Layout, Local Code</t>
  </si>
  <si>
    <t>Alignment, secure mounting, water flow, drainage</t>
  </si>
  <si>
    <t>Fixtures properly aligned and functional</t>
  </si>
  <si>
    <t>Fixture Spec, Manufacturer Instructions</t>
  </si>
  <si>
    <t>Hydrostatic Test</t>
  </si>
  <si>
    <t>Coverage, material type, adhesion, thickness</t>
  </si>
  <si>
    <t>Insulation complete and conforms to spec</t>
  </si>
  <si>
    <t>After installation</t>
  </si>
  <si>
    <t>Insulation Spec, Energy Code</t>
  </si>
  <si>
    <t>MECHANICAL WORKS</t>
  </si>
  <si>
    <t>Pipe type, sprinkler heads, valves, gauges, manufacturer certificates</t>
  </si>
  <si>
    <t>Materials conform to specs; no damage or corrosion</t>
  </si>
  <si>
    <t>Pipe routing, sprinkler spacing, coverage area</t>
  </si>
  <si>
    <t>Matches approved fire protection drawings</t>
  </si>
  <si>
    <t>Per zone</t>
  </si>
  <si>
    <t>Fire protection checklist form</t>
  </si>
  <si>
    <t>Fire Protection Layout, NFPA Standards</t>
  </si>
  <si>
    <t>Pipe alignment, support spacing, joint sealing</t>
  </si>
  <si>
    <t>Visual &amp; Alignment Check</t>
  </si>
  <si>
    <t>Pipes securely fixed; joints sealed; slope per design</t>
  </si>
  <si>
    <t>Installation Method Statement</t>
  </si>
  <si>
    <t>Type, orientation, spacing, coverage</t>
  </si>
  <si>
    <t>Visual &amp; Position Check</t>
  </si>
  <si>
    <t>Heads installed per spec; unobstructed spray pattern</t>
  </si>
  <si>
    <t>Per head</t>
  </si>
  <si>
    <t>NFPA 13, Manufacturer Instructions</t>
  </si>
  <si>
    <t>Valve type, accessibility, signage, operation</t>
  </si>
  <si>
    <t>Functional &amp; Visual Check</t>
  </si>
  <si>
    <t>Devices installed per spec; operational and labeled</t>
  </si>
  <si>
    <t>Per device</t>
  </si>
  <si>
    <t>Valve Schedule, Fire Safety Code</t>
  </si>
  <si>
    <t>leak test form</t>
  </si>
  <si>
    <t>NFPA 13, Pressure Test Procedure</t>
  </si>
  <si>
    <t>Signal transmission, device response, control panel alerts</t>
  </si>
  <si>
    <t>Functional Test</t>
  </si>
  <si>
    <t>All devices respond correctly; signals reach control panel</t>
  </si>
  <si>
    <t>NFPA 72, System Integration Plan</t>
  </si>
  <si>
    <t>End-to-end operation, alarms, water flow, documentation</t>
  </si>
  <si>
    <t>Full System Test</t>
  </si>
  <si>
    <t>System fully operational; all tests passed; documents complete</t>
  </si>
  <si>
    <t>Commisioning report</t>
  </si>
  <si>
    <t>Commissioning Checklist, As-built Drawings</t>
  </si>
  <si>
    <t>Elevator components (rails, cabin, motor, controller), manufacturer certificates</t>
  </si>
  <si>
    <t>Materials conform to specs; no damage; valid certifications</t>
  </si>
  <si>
    <t>Shaft dimensions, plumb, pit depth, waterproofing, embedded items</t>
  </si>
  <si>
    <t>Dimensional &amp; Visual Check</t>
  </si>
  <si>
    <t>Matches approved shop drawings; clean and dry pit</t>
  </si>
  <si>
    <t>Once per shaft</t>
  </si>
  <si>
    <t>Elevator inspection checklist form</t>
  </si>
  <si>
    <t>Civil Drawings, Manufacturer Requirements</t>
  </si>
  <si>
    <t>Vertical alignment, bracket spacing, torque of fasteners</t>
  </si>
  <si>
    <t>Alignment &amp; Torque Check</t>
  </si>
  <si>
    <t>Rails plumb within tolerance; brackets secured</t>
  </si>
  <si>
    <t>Per floor</t>
  </si>
  <si>
    <t>Manufacturer Manual, Installation Plan</t>
  </si>
  <si>
    <t>Machine base, vibration pads, power supply, ventilation, lighting</t>
  </si>
  <si>
    <t>Equipment installed per spec; room meets code</t>
  </si>
  <si>
    <t>Once per machine room</t>
  </si>
  <si>
    <t>Electrical Layout, Elevator Spec</t>
  </si>
  <si>
    <t>Car frame, sling, guide shoes, buffers, counterweight alignment</t>
  </si>
  <si>
    <t>Installed per drawings; clearances within tolerance</t>
  </si>
  <si>
    <t>Per unit</t>
  </si>
  <si>
    <t>Manufacturer Manual, Shop Drawings</t>
  </si>
  <si>
    <t>Cable routing, termination, labeling, control panel configuration</t>
  </si>
  <si>
    <t>Continuity &amp; Function Test</t>
  </si>
  <si>
    <t>Properly terminated; labeled; control logic matches design</t>
  </si>
  <si>
    <t>Per system</t>
  </si>
  <si>
    <t>Wiring Diagram, Labeling Plan</t>
  </si>
  <si>
    <t>Governor, overspeed switch, buffers, final limit switches</t>
  </si>
  <si>
    <t>All safety devices functional and tested</t>
  </si>
  <si>
    <t>Safety Code, Manufacturer Instructions</t>
  </si>
  <si>
    <t>Door alignment, interlocks, sensors, smooth operation</t>
  </si>
  <si>
    <t>Doors operate smoothly; interlocks functional</t>
  </si>
  <si>
    <t>Per door</t>
  </si>
  <si>
    <t>Door Schedule, Manufacturer Manual</t>
  </si>
  <si>
    <t>Rated load, travel speed, leveling accuracy</t>
  </si>
  <si>
    <t>Performance Test</t>
  </si>
  <si>
    <t>Meets rated capacity and speed; levels within tolerance</t>
  </si>
  <si>
    <t>Once per unit</t>
  </si>
  <si>
    <t>EN 81, ASME A17.1, Test Report</t>
  </si>
  <si>
    <t>Battery backup, manual lowering, alarm, intercom</t>
  </si>
  <si>
    <t>Emergency systems functional; response time within limits</t>
  </si>
  <si>
    <t>Emergency Plan, Safety Code</t>
  </si>
  <si>
    <t>As-built drawings, test certificates, operation manuals</t>
  </si>
  <si>
    <t>All documentation complete; system approved by authority</t>
  </si>
  <si>
    <t>Handover Checklist, Commissioning Docs</t>
  </si>
  <si>
    <t>ELECTRONICS WORKS</t>
  </si>
  <si>
    <t>Smoke detectors, heat detectors, control panels, wiring, manufacturer certificates</t>
  </si>
  <si>
    <t>Material Spec, NFPA 72</t>
  </si>
  <si>
    <t>Detector locations, panel placement, cable routes</t>
  </si>
  <si>
    <t>Matches approved FDAS layout drawings</t>
  </si>
  <si>
    <t>FDAS checklist form</t>
  </si>
  <si>
    <t>FDAS Layout, Fire Safety Code</t>
  </si>
  <si>
    <t>Mounting height, orientation, accessibility, wiring</t>
  </si>
  <si>
    <t>Devices securely mounted; wiring per spec; no obstructions</t>
  </si>
  <si>
    <t>Manufacturer Instructions, NFPA 72</t>
  </si>
  <si>
    <t>Cable type, insulation, labeling, termination quality</t>
  </si>
  <si>
    <t>Visual &amp; Continuity Test</t>
  </si>
  <si>
    <t>Cables properly routed and terminated; continuity confirmed, labeling at both ends</t>
  </si>
  <si>
    <t>Per circuit</t>
  </si>
  <si>
    <t>Wiring Diagram, PEC/NFPA Standards</t>
  </si>
  <si>
    <t>Panel configuration, power supply, battery backup</t>
  </si>
  <si>
    <t>Visual &amp; Power-On Test</t>
  </si>
  <si>
    <t>Panel operational; configured per design; backup functional</t>
  </si>
  <si>
    <t>Per panel</t>
  </si>
  <si>
    <t>Panel Spec, NFPA 72</t>
  </si>
  <si>
    <t>Signal transmission, device response, alarm activation</t>
  </si>
  <si>
    <t>All devices respond correctly; alarms trigger as designed</t>
  </si>
  <si>
    <t>Integration Plan, NFPA 72</t>
  </si>
  <si>
    <t>Detector activation, alarm response, panel logging</t>
  </si>
  <si>
    <t>System fully operational; no faults; logs recorded</t>
  </si>
  <si>
    <t>Commissioning Checklist, Test Reports</t>
  </si>
  <si>
    <t>As-built drawings, test certificates, user training</t>
  </si>
  <si>
    <t>Cable type (UTP/STP/fiber), connectors, patch panels, labeling materials</t>
  </si>
  <si>
    <t>Delivery Docs</t>
  </si>
  <si>
    <t>Material Spec, ANSI/TIA-568</t>
  </si>
  <si>
    <t>Cable routes, outlet locations, rack positions</t>
  </si>
  <si>
    <t>Matches approved cabling layout drawings</t>
  </si>
  <si>
    <t>Per floor/zone</t>
  </si>
  <si>
    <t>Cabling Layout, Network Plan</t>
  </si>
  <si>
    <t>Conduit type, alignment, support spacing, bend radius</t>
  </si>
  <si>
    <t>Installed per layout; securely fixed; joints sealed</t>
  </si>
  <si>
    <t>Per section</t>
  </si>
  <si>
    <t>Method Statement, NEC/PEC Standards</t>
  </si>
  <si>
    <t>Cable type, bend radius, termination quality, labeling at both ends</t>
  </si>
  <si>
    <t>Cables properly routed and terminated; labels match drawings</t>
  </si>
  <si>
    <t>Per cable run</t>
  </si>
  <si>
    <t>ANSI/TIA-568, Manufacturer Instructions</t>
  </si>
  <si>
    <t>Mounting, cable management, labeling of ports and cables</t>
  </si>
  <si>
    <t>Patch panels securely mounted; cables organized and labeled</t>
  </si>
  <si>
    <t>Per rack</t>
  </si>
  <si>
    <t>Rack Layout, Cabling Schedule</t>
  </si>
  <si>
    <t>Label format (font, size), location, cable ID, rack ID, outlet ID</t>
  </si>
  <si>
    <t>Labels are legible, durable, standardized, and match documentation</t>
  </si>
  <si>
    <t>Per zone/system</t>
  </si>
  <si>
    <t>Labeling Plan, As-built Drawings</t>
  </si>
  <si>
    <t>Wire map, length, attenuation, NEXT, return loss</t>
  </si>
  <si>
    <t>Fluke/Continuity Test</t>
  </si>
  <si>
    <t>Passes Category 5e/6/6A performance criteria</t>
  </si>
  <si>
    <t>ANSI/TIA-1152, Test Report</t>
  </si>
  <si>
    <t>Insertion loss, reflectance, continuity</t>
  </si>
  <si>
    <t>OTDR/OLTS Test</t>
  </si>
  <si>
    <t>Passes single-mode/multi-mode specs; no breaks or high loss</t>
  </si>
  <si>
    <t>Per fiber run</t>
  </si>
  <si>
    <t>ANSI/TIA-568.3-D, Test Report</t>
  </si>
  <si>
    <t>As-built drawings, test certificates, labeling verification</t>
  </si>
  <si>
    <t>Visual &amp; Functional Review</t>
  </si>
  <si>
    <t>All documentation complete; system approved by client/consultant</t>
  </si>
  <si>
    <t>Camera type (IP/analog), NVR/DVR, cables, connectors, brackets, manufacturer certificates</t>
  </si>
  <si>
    <t>Camera locations, cable routes, power source, field of view</t>
  </si>
  <si>
    <t>Matches approved CCTV layout drawings</t>
  </si>
  <si>
    <t>CCTV Layout, Security Plan</t>
  </si>
  <si>
    <t>Tray type, support spacing, bonding, labeling</t>
  </si>
  <si>
    <t>Trays securely mounted; aligned; bonded; labeled per zone</t>
  </si>
  <si>
    <t>Per tray section</t>
  </si>
  <si>
    <t>Cable Tray Layout, NEC/NEMA Standards</t>
  </si>
  <si>
    <t>Cable type (coaxial/UTP), bend radius, termination quality, labeling</t>
  </si>
  <si>
    <t>Cables properly routed and terminated; labeled at both ends</t>
  </si>
  <si>
    <t>Manufacturer Instructions, Labeling Plan</t>
  </si>
  <si>
    <t>Mounting height, orientation, coverage area, accessibility</t>
  </si>
  <si>
    <t>Cameras securely mounted; field of view unobstructed</t>
  </si>
  <si>
    <t>Per camera</t>
  </si>
  <si>
    <t>Camera Spec, Installation Manual</t>
  </si>
  <si>
    <t>Label format, location, legibility, durability</t>
  </si>
  <si>
    <t>Labels match drawings; standardized format; heat/smudge resistant</t>
  </si>
  <si>
    <t>Voltage level, current draw, backup availability</t>
  </si>
  <si>
    <t>Voltage &amp; Load Test</t>
  </si>
  <si>
    <t>Power within spec; backup systems operational</t>
  </si>
  <si>
    <t>Per camera/system</t>
  </si>
  <si>
    <t>Power Plan, Electrical Layout</t>
  </si>
  <si>
    <t>IP address, connectivity, bandwidth, recording settings</t>
  </si>
  <si>
    <t>Software &amp; Connectivity Test</t>
  </si>
  <si>
    <t>Cameras reachable; recording functional; network stable</t>
  </si>
  <si>
    <t>Network Plan, IP Allocation Sheet</t>
  </si>
  <si>
    <t>Signal transmission, alarm triggers, control panel response</t>
  </si>
  <si>
    <t>End-to-End Test</t>
  </si>
  <si>
    <t>Integrated systems respond correctly; events logged</t>
  </si>
  <si>
    <t>Once per integrated system</t>
  </si>
  <si>
    <t>Integration Plan, NFPA/IEC Standards</t>
  </si>
  <si>
    <t>Live feed, recording, playback, remote access, PTZ control</t>
  </si>
  <si>
    <t>All functions operational; no faults; client approval</t>
  </si>
  <si>
    <t>ELECTRICAL WORKS</t>
  </si>
  <si>
    <t>Load calculations, circuit layout, panel schedules, grounding plan</t>
  </si>
  <si>
    <t>Design complies with local codes and project specs</t>
  </si>
  <si>
    <t>Electrical Drawings, PEC/NFPA Standards</t>
  </si>
  <si>
    <t>Cable specs, breaker ratings, fixture types, manufacturer data sheets</t>
  </si>
  <si>
    <t>Certification &amp; Spec Review</t>
  </si>
  <si>
    <t>Materials match approved specs and standards</t>
  </si>
  <si>
    <t>Once per material type</t>
  </si>
  <si>
    <t>Purchase request form</t>
  </si>
  <si>
    <t>Submittals, Manufacturer Certifications</t>
  </si>
  <si>
    <t>Tray type, support spacing, alignment, bonding, load rating</t>
  </si>
  <si>
    <t>Trays securely mounted; aligned; bonded; supports per spec</t>
  </si>
  <si>
    <t>Electrical works checklist form</t>
  </si>
  <si>
    <t>Cable type, insulation, support spacing, bend radius, labeling</t>
  </si>
  <si>
    <t>Proper routing; no damage; labeled correctly</t>
  </si>
  <si>
    <t>Per circuit or zone</t>
  </si>
  <si>
    <t>Wiring Diagram, Method Statement</t>
  </si>
  <si>
    <t>Mounting, breaker configuration, labeling, accessibility</t>
  </si>
  <si>
    <t>Secure installation; operational breakers; clear labeling</t>
  </si>
  <si>
    <t>Panel Schedule, Manufacturer Instructions</t>
  </si>
  <si>
    <t>Rod depth, conductor size, connection integrity</t>
  </si>
  <si>
    <t>Resistance Test</t>
  </si>
  <si>
    <t>Ground resistance within limits (e.g., &lt;5 ohms)</t>
  </si>
  <si>
    <t>Per grounding point</t>
  </si>
  <si>
    <t>Grounding Plan, Test Procedure</t>
  </si>
  <si>
    <t>Fixture alignment, switch height, socket polarity</t>
  </si>
  <si>
    <t>Visual &amp; Polarity Test</t>
  </si>
  <si>
    <t>Devices correctly wired and functional</t>
  </si>
  <si>
    <t>Per fixture/device</t>
  </si>
  <si>
    <t>Fixture Spec, Electrical Layout</t>
  </si>
  <si>
    <t>Battery backup, emergency lights, exit signs</t>
  </si>
  <si>
    <t>Emergency systems operational during power failure</t>
  </si>
  <si>
    <t>Per emergency zone/system</t>
  </si>
  <si>
    <t>Emergency Layout, Fire Code</t>
  </si>
  <si>
    <t>Label format, location (both ends), legibility, durability</t>
  </si>
  <si>
    <t>Labels match drawings; heat/smudge resistant; standardized format</t>
  </si>
  <si>
    <t>Per cable/ Tray run, per panel board, per breaker</t>
  </si>
  <si>
    <t>Resistance between conductors and ground</t>
  </si>
  <si>
    <t>Megger Test</t>
  </si>
  <si>
    <t>Meets code (e.g., &gt;1 MΩ for 500V test)</t>
  </si>
  <si>
    <t>Test Report, PEC/NFPA Guidelines</t>
  </si>
  <si>
    <t>Circuit continuity, breaker tripping, voltage levels</t>
  </si>
  <si>
    <t>Load &amp; Operation Test</t>
  </si>
  <si>
    <t>All circuits operational; breakers trip correctly</t>
  </si>
  <si>
    <t>Per circuit/system</t>
  </si>
  <si>
    <t>Commissioning Checklist</t>
  </si>
  <si>
    <t>Integrated systems respond correctly and log events</t>
  </si>
  <si>
    <t>As-built drawings, test certificates, user manuals</t>
  </si>
  <si>
    <t>All documentation complete; systems approved by authority</t>
  </si>
  <si>
    <t>Identify Required Permits, ECC, Dole report</t>
  </si>
  <si>
    <t>Prepare Permit Applications</t>
  </si>
  <si>
    <t>Submit to Authorities</t>
  </si>
  <si>
    <t>Track Permit Status</t>
  </si>
  <si>
    <t>Respond to Authority Queries</t>
  </si>
  <si>
    <t>Receive Approved Permits</t>
  </si>
  <si>
    <t>Distribute Permits to Site Team</t>
  </si>
  <si>
    <t>Display Permits on Site</t>
  </si>
  <si>
    <t>Maintain Permit Records</t>
  </si>
  <si>
    <t>REBAR WORKS</t>
  </si>
  <si>
    <t>Material Delivery Inspection</t>
  </si>
  <si>
    <t>Storage of Rebars</t>
  </si>
  <si>
    <t>Cutting and Bending</t>
  </si>
  <si>
    <t>Placement and Fixing</t>
  </si>
  <si>
    <t>Reinforcement for Openings</t>
  </si>
  <si>
    <t>Welding (if applicable)</t>
  </si>
  <si>
    <t>Rebar Couplers (if used)</t>
  </si>
  <si>
    <t>Final Inspection Before Pour</t>
  </si>
  <si>
    <t>FORM WORKS</t>
  </si>
  <si>
    <t>Storage of Formwork Materials</t>
  </si>
  <si>
    <t>Formwork Assembly</t>
  </si>
  <si>
    <t>Formwork Support &amp; Bracing</t>
  </si>
  <si>
    <t>Opening and Embedment Setup</t>
  </si>
  <si>
    <t>Application of Release Agent</t>
  </si>
  <si>
    <t>Final Pre-Pour Inspection</t>
  </si>
  <si>
    <t>Formwork Removal</t>
  </si>
  <si>
    <t>Post-Removal Surface Check</t>
  </si>
  <si>
    <t>CONCRETE WORKS</t>
  </si>
  <si>
    <t>Concrete Mix Verification</t>
  </si>
  <si>
    <t>Batching and Mixing</t>
  </si>
  <si>
    <t>Slump Test</t>
  </si>
  <si>
    <t>Concrete Placement</t>
  </si>
  <si>
    <t>Cube/Cylinder Sampling</t>
  </si>
  <si>
    <t>Compressive Strength Test</t>
  </si>
  <si>
    <t>Surface Finish Inspection</t>
  </si>
  <si>
    <t>Curing Process</t>
  </si>
  <si>
    <t>Final Inspection and Handover</t>
  </si>
  <si>
    <t>MASONRY WORKS</t>
  </si>
  <si>
    <t>CHB LAYING</t>
  </si>
  <si>
    <t>Reinforcement (Vert &amp; Hor)</t>
  </si>
  <si>
    <t>PLASTERING WORKS</t>
  </si>
  <si>
    <t>FLOOR TOPPING</t>
  </si>
  <si>
    <t>Formwork &amp; Edge Restraints</t>
  </si>
  <si>
    <t>Rebar / Wire Mesh Installation</t>
  </si>
  <si>
    <t>Mixing of Floor Topping</t>
  </si>
  <si>
    <t>Pouring of Floor Topping</t>
  </si>
  <si>
    <t>Screeding / Leveling</t>
  </si>
  <si>
    <t>Curing</t>
  </si>
  <si>
    <t>TILES WORKS</t>
  </si>
  <si>
    <t>Surface preparation</t>
  </si>
  <si>
    <t>Tile, adhesive, grout inspection</t>
  </si>
  <si>
    <t>Tile layout and alignment</t>
  </si>
  <si>
    <t>Adhesive application, tile laying</t>
  </si>
  <si>
    <t>Grout mixing and application</t>
  </si>
  <si>
    <t>Cleanliness, alignment, finish</t>
  </si>
  <si>
    <t>SANITARY SYSTEM</t>
  </si>
  <si>
    <t>Layout Marking</t>
  </si>
  <si>
    <t>Pipe Installation (Drainage)</t>
  </si>
  <si>
    <t>Fixture Installation</t>
  </si>
  <si>
    <t>Water Supply Connection</t>
  </si>
  <si>
    <t>Drainage Leak Test</t>
  </si>
  <si>
    <t>Sealant and Caulking Inspection</t>
  </si>
  <si>
    <t>PLUMBING SYSTEM</t>
  </si>
  <si>
    <t>Rough-In Installation</t>
  </si>
  <si>
    <t>Pressure Testing (Water Supply)</t>
  </si>
  <si>
    <t>Insulation of Pipes</t>
  </si>
  <si>
    <t>Final System Inspection</t>
  </si>
  <si>
    <t>FIRE PROTECTION WORKS</t>
  </si>
  <si>
    <t>Pipe Installation</t>
  </si>
  <si>
    <t>Sprinkler Head Installation</t>
  </si>
  <si>
    <t>Valve and Control Device Setup</t>
  </si>
  <si>
    <t>Hydrostatic Pressure Testing</t>
  </si>
  <si>
    <t>Alarm System Integration</t>
  </si>
  <si>
    <t>Final System Commissioning</t>
  </si>
  <si>
    <t>ELEVATOR INSTALLATION</t>
  </si>
  <si>
    <t>Shaft &amp; Pit Preparation</t>
  </si>
  <si>
    <t>Rail &amp; Bracket Installation</t>
  </si>
  <si>
    <t>Machine Room Setup</t>
  </si>
  <si>
    <t>Elevator Car &amp; Counterweight Install</t>
  </si>
  <si>
    <t>Wiring &amp; Control Panel Setup</t>
  </si>
  <si>
    <t>Safety Gear &amp; Limit Switches</t>
  </si>
  <si>
    <t>Door Mechanism Installation</t>
  </si>
  <si>
    <t>Load Test &amp; Speed Test</t>
  </si>
  <si>
    <t>Emergency Operation Test</t>
  </si>
  <si>
    <t>Final Inspection &amp; Commissioning</t>
  </si>
  <si>
    <t>FDAS INSTALLATION</t>
  </si>
  <si>
    <t>Device Installation</t>
  </si>
  <si>
    <t>Cable Routing and Termination</t>
  </si>
  <si>
    <t>Control Panel Setup</t>
  </si>
  <si>
    <t>System Integration</t>
  </si>
  <si>
    <t>End-to-End System Testing</t>
  </si>
  <si>
    <t>STRUCTURED CABELING</t>
  </si>
  <si>
    <t>Conduit and Raceway Installation</t>
  </si>
  <si>
    <t>Cable Pulling and Termination</t>
  </si>
  <si>
    <t>Patch Panel and Rack Setup</t>
  </si>
  <si>
    <t>Labeling and Documentation</t>
  </si>
  <si>
    <t>Testing of Copper Cabling</t>
  </si>
  <si>
    <t>Testing of Fiber Cabling</t>
  </si>
  <si>
    <t>CCTV INSTALLATION</t>
  </si>
  <si>
    <t>Cable Tray Installation</t>
  </si>
  <si>
    <t>Camera Mounting and Alignment</t>
  </si>
  <si>
    <t>Labeling of Devices and Cables</t>
  </si>
  <si>
    <t>Power Supply Verification</t>
  </si>
  <si>
    <t>Network Configuration (IP CCTV)</t>
  </si>
  <si>
    <t>System Integration (BMS/FDAS)</t>
  </si>
  <si>
    <t>Final Testing and Commissioning</t>
  </si>
  <si>
    <t>Design Review</t>
  </si>
  <si>
    <t>Material Submittal Approval</t>
  </si>
  <si>
    <t>Cable Routing &amp; Conduit Works</t>
  </si>
  <si>
    <t>Grounding System Installation</t>
  </si>
  <si>
    <t>Lighting &amp; Power Outlet Installation</t>
  </si>
  <si>
    <t>Emergency System Setup</t>
  </si>
  <si>
    <t>Labeling</t>
  </si>
  <si>
    <t>Insulation Resistance Testing</t>
  </si>
  <si>
    <t>Functional Testing of Circuits</t>
  </si>
  <si>
    <t>System Integration (BMS, FDAS, etc.)</t>
  </si>
  <si>
    <t>Final Inspection &amp; Handover</t>
  </si>
  <si>
    <t>LGU PERMITS AND COMPLIANCE</t>
  </si>
  <si>
    <t>FDAS</t>
  </si>
  <si>
    <t>INSPECTION</t>
  </si>
  <si>
    <t>ELECTRICAL SYSTEM</t>
  </si>
  <si>
    <r>
      <rPr>
        <b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 xml:space="preserve"> = Witness Point (notification required, presence not mandatory) 
</t>
    </r>
    <r>
      <rPr>
        <b/>
        <sz val="11"/>
        <color theme="1"/>
        <rFont val="Calibri"/>
        <family val="2"/>
        <scheme val="minor"/>
      </rPr>
      <t xml:space="preserve">H </t>
    </r>
    <r>
      <rPr>
        <sz val="11"/>
        <color theme="1"/>
        <rFont val="Calibri"/>
        <family val="2"/>
        <scheme val="minor"/>
      </rPr>
      <t xml:space="preserve">= Hold Point (required presence notification mandatory)
</t>
    </r>
  </si>
  <si>
    <r>
      <rPr>
        <b/>
        <sz val="11"/>
        <color theme="1"/>
        <rFont val="Calibri"/>
        <family val="2"/>
        <scheme val="minor"/>
      </rPr>
      <t>HC</t>
    </r>
    <r>
      <rPr>
        <sz val="11"/>
        <color theme="1"/>
        <rFont val="Calibri"/>
        <family val="2"/>
        <scheme val="minor"/>
      </rPr>
      <t xml:space="preserve"> = Inspection/Test by Consultant
</t>
    </r>
    <r>
      <rPr>
        <b/>
        <sz val="11"/>
        <color theme="1"/>
        <rFont val="Calibri"/>
        <family val="2"/>
        <scheme val="minor"/>
      </rPr>
      <t xml:space="preserve">S </t>
    </r>
    <r>
      <rPr>
        <sz val="11"/>
        <color theme="1"/>
        <rFont val="Calibri"/>
        <family val="2"/>
        <scheme val="minor"/>
      </rPr>
      <t>= Surveillance or monitoring</t>
    </r>
  </si>
  <si>
    <r>
      <t xml:space="preserve"> </t>
    </r>
    <r>
      <rPr>
        <b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= Self inspection by performer of work
</t>
    </r>
    <r>
      <rPr>
        <b/>
        <sz val="11"/>
        <color theme="1"/>
        <rFont val="Calibri"/>
        <family val="2"/>
        <scheme val="minor"/>
      </rPr>
      <t>HA</t>
    </r>
    <r>
      <rPr>
        <sz val="11"/>
        <color theme="1"/>
        <rFont val="Calibri"/>
        <family val="2"/>
        <scheme val="minor"/>
      </rPr>
      <t xml:space="preserve"> = Inspection/Test by Authority</t>
    </r>
  </si>
  <si>
    <t>HIDE/SHOW</t>
  </si>
  <si>
    <t>Rev. No.  : 0</t>
  </si>
  <si>
    <t>Page  : 1 of 1</t>
  </si>
  <si>
    <t>PROJECT</t>
  </si>
  <si>
    <t>LOCATION</t>
  </si>
  <si>
    <t>CLIENT</t>
  </si>
  <si>
    <t>CURRENT DATE</t>
  </si>
  <si>
    <t xml:space="preserve"># OF NON CORFORMANCE (DOCS) </t>
  </si>
  <si>
    <t xml:space="preserve"># OF NON CONFORMANCE (TECHNICAL) </t>
  </si>
  <si>
    <t>WORK DESCRIPTION</t>
  </si>
  <si>
    <t>PROJ. DATE START</t>
  </si>
  <si>
    <t>PROJ. DATE FINISH</t>
  </si>
  <si>
    <t xml:space="preserve">CONS </t>
  </si>
  <si>
    <t>PROJECT MANAGER</t>
  </si>
  <si>
    <t>PROJECT SUPERINTENDENT</t>
  </si>
  <si>
    <t>PROJECT ENGINEER (CIVIL)</t>
  </si>
  <si>
    <t>PROJECT ENGINEER (SA)</t>
  </si>
  <si>
    <t>PROJECT ENGINEER (EE)</t>
  </si>
  <si>
    <t>PENDING RFI/RFA</t>
  </si>
  <si>
    <t>QCE</t>
  </si>
  <si>
    <t>PROJ. ARCH</t>
  </si>
  <si>
    <t>SAFETY OFFICER</t>
  </si>
  <si>
    <t>QUALITY INSPECTION PLAN</t>
  </si>
  <si>
    <t>QAQC- QIP TABLE 1</t>
  </si>
  <si>
    <t>PENDING RFI/RFA/RESOLUTION</t>
  </si>
  <si>
    <t>Eff.  Date: 11/10/2025</t>
  </si>
  <si>
    <t>Accumlated issue/Pending issue</t>
  </si>
  <si>
    <t>0</t>
  </si>
  <si>
    <t>PACIFIC PLACE</t>
  </si>
  <si>
    <t>Marcos Highway, Baguio City</t>
  </si>
  <si>
    <t>JUN PATAC</t>
  </si>
  <si>
    <t>JDEL MALPICA</t>
  </si>
  <si>
    <t>SANNY RETONDO</t>
  </si>
  <si>
    <t>JEREMY BALABAG</t>
  </si>
  <si>
    <t>OM</t>
  </si>
  <si>
    <t>JEMMER GUILAO</t>
  </si>
  <si>
    <t>EDSON REDUCA</t>
  </si>
  <si>
    <t>BRYAN ALCARMEN</t>
  </si>
  <si>
    <t>DIOS DADO CO</t>
  </si>
  <si>
    <t>TOTAL ACCUMULATE ISSUE/PENDING ISSUE</t>
  </si>
  <si>
    <t xml:space="preserve"># OF NON-CORFORMANCE (DOCS) </t>
  </si>
  <si>
    <t>RHYS SAONG</t>
  </si>
  <si>
    <t>PREPARED BY:</t>
  </si>
  <si>
    <t>ENGR. VIRTRON K. BUMAL-O</t>
  </si>
  <si>
    <t>QCM-FCLDC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</si>
</sst>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i/>
      <sz val="10"/>
      <color rgb="FF000000"/>
      <name val="Trebuchet MS"/>
      <family val="2"/>
    </font>
    <font>
      <i/>
      <sz val="11"/>
      <color rgb="FFED1C24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Unicode MS"/>
      <family val="2"/>
    </font>
    <font>
      <b/>
      <sz val="11"/>
      <color theme="0"/>
      <name val="Calibri"/>
      <family val="2"/>
      <scheme val="minor"/>
    </font>
    <font>
      <sz val="10"/>
      <color theme="0"/>
      <name val="Arial Unicode MS"/>
      <family val="2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1"/>
      <name val="Arial Black"/>
      <family val="2"/>
    </font>
    <font>
      <i/>
      <sz val="9"/>
      <color theme="1"/>
      <name val="Trebuchet MS"/>
      <family val="2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color theme="1"/>
      <name val="Trebuchet MS"/>
      <family val="2"/>
    </font>
    <font>
      <sz val="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22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8" fillId="0" borderId="27" xfId="0" applyFont="1" applyBorder="1" applyAlignment="1" applyProtection="1">
      <alignment horizontal="center" vertical="top" wrapText="1"/>
      <protection locked="0"/>
    </xf>
    <xf numFmtId="0" fontId="8" fillId="0" borderId="21" xfId="0" applyFont="1" applyBorder="1" applyAlignment="1" applyProtection="1">
      <alignment horizontal="center" vertical="top" wrapText="1"/>
      <protection locked="0"/>
    </xf>
    <xf numFmtId="0" fontId="8" fillId="0" borderId="18" xfId="0" applyFont="1" applyBorder="1" applyAlignment="1" applyProtection="1">
      <alignment horizontal="center" vertical="top" wrapText="1"/>
      <protection locked="0"/>
    </xf>
    <xf numFmtId="0" fontId="8" fillId="0" borderId="35" xfId="0" applyFont="1" applyBorder="1" applyAlignment="1" applyProtection="1">
      <alignment horizontal="center" vertical="top" wrapText="1"/>
      <protection locked="0"/>
    </xf>
    <xf numFmtId="0" fontId="8" fillId="0" borderId="31" xfId="0" applyFont="1" applyBorder="1" applyAlignment="1" applyProtection="1">
      <alignment horizontal="center" vertical="top" wrapText="1"/>
      <protection locked="0"/>
    </xf>
    <xf numFmtId="0" fontId="8" fillId="0" borderId="24" xfId="0" applyFont="1" applyBorder="1" applyAlignment="1" applyProtection="1">
      <alignment horizontal="center" vertical="top" wrapText="1"/>
      <protection locked="0"/>
    </xf>
    <xf numFmtId="0" fontId="13" fillId="0" borderId="31" xfId="0" applyFont="1" applyBorder="1" applyAlignment="1" applyProtection="1">
      <alignment horizontal="center" vertical="top" wrapText="1"/>
      <protection locked="0"/>
    </xf>
    <xf numFmtId="0" fontId="20" fillId="0" borderId="15" xfId="0" applyFont="1" applyBorder="1" applyAlignment="1">
      <alignment horizontal="left" vertical="center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0" fillId="0" borderId="18" xfId="0" applyFont="1" applyBorder="1" applyAlignment="1">
      <alignment horizontal="left" vertical="center"/>
    </xf>
    <xf numFmtId="0" fontId="20" fillId="0" borderId="52" xfId="0" applyFont="1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20" fillId="0" borderId="72" xfId="0" applyFont="1" applyBorder="1" applyAlignment="1" applyProtection="1">
      <alignment wrapText="1"/>
      <protection locked="0"/>
    </xf>
    <xf numFmtId="0" fontId="20" fillId="0" borderId="21" xfId="0" applyFont="1" applyBorder="1" applyAlignment="1">
      <alignment horizontal="left" vertical="center"/>
    </xf>
    <xf numFmtId="0" fontId="8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1" fillId="0" borderId="2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Alignment="1" applyProtection="1">
      <alignment horizontal="center" vertical="top"/>
      <protection locked="0"/>
    </xf>
    <xf numFmtId="0" fontId="1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8" fillId="0" borderId="0" xfId="0" applyFont="1" applyAlignment="1" applyProtection="1">
      <alignment horizontal="center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 vertical="top" wrapText="1"/>
      <protection locked="0"/>
    </xf>
    <xf numFmtId="0" fontId="10" fillId="0" borderId="32" xfId="0" applyFont="1" applyBorder="1" applyAlignment="1" applyProtection="1">
      <alignment horizontal="center" vertical="center" wrapText="1"/>
      <protection locked="0"/>
    </xf>
    <xf numFmtId="0" fontId="11" fillId="0" borderId="50" xfId="0" applyFont="1" applyBorder="1" applyAlignment="1">
      <alignment horizontal="left" vertical="top" wrapText="1"/>
    </xf>
    <xf numFmtId="0" fontId="3" fillId="0" borderId="51" xfId="0" applyFont="1" applyBorder="1" applyAlignment="1" applyProtection="1">
      <alignment horizontal="left" vertical="top" wrapText="1"/>
      <protection locked="0"/>
    </xf>
    <xf numFmtId="0" fontId="3" fillId="0" borderId="38" xfId="0" applyFont="1" applyBorder="1" applyAlignment="1" applyProtection="1">
      <alignment horizontal="left" vertical="top" wrapText="1"/>
      <protection locked="0"/>
    </xf>
    <xf numFmtId="0" fontId="0" fillId="0" borderId="38" xfId="0" applyBorder="1" applyAlignment="1" applyProtection="1">
      <alignment horizontal="left" vertical="top" wrapText="1"/>
      <protection locked="0"/>
    </xf>
    <xf numFmtId="0" fontId="0" fillId="0" borderId="38" xfId="0" applyBorder="1" applyAlignment="1" applyProtection="1">
      <alignment horizontal="center" vertical="top" wrapText="1"/>
      <protection locked="0"/>
    </xf>
    <xf numFmtId="0" fontId="0" fillId="0" borderId="39" xfId="0" applyBorder="1" applyAlignment="1" applyProtection="1">
      <alignment horizontal="center" vertical="top" wrapText="1"/>
      <protection locked="0"/>
    </xf>
    <xf numFmtId="0" fontId="11" fillId="0" borderId="41" xfId="0" applyFont="1" applyBorder="1" applyAlignment="1" applyProtection="1">
      <alignment horizontal="left" vertical="top" wrapText="1"/>
      <protection locked="0"/>
    </xf>
    <xf numFmtId="0" fontId="3" fillId="0" borderId="43" xfId="0" applyFont="1" applyBorder="1" applyAlignment="1" applyProtection="1">
      <alignment horizontal="left" vertical="top" wrapText="1"/>
      <protection locked="0"/>
    </xf>
    <xf numFmtId="0" fontId="3" fillId="0" borderId="19" xfId="0" applyFont="1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center" vertical="top" wrapText="1"/>
      <protection locked="0"/>
    </xf>
    <xf numFmtId="0" fontId="0" fillId="0" borderId="20" xfId="0" applyBorder="1" applyAlignment="1" applyProtection="1">
      <alignment horizontal="center" vertical="top" wrapText="1"/>
      <protection locked="0"/>
    </xf>
    <xf numFmtId="0" fontId="11" fillId="0" borderId="42" xfId="0" applyFont="1" applyBorder="1" applyAlignment="1" applyProtection="1">
      <alignment horizontal="left" vertical="top"/>
      <protection locked="0"/>
    </xf>
    <xf numFmtId="0" fontId="3" fillId="0" borderId="40" xfId="0" applyFont="1" applyBorder="1" applyAlignment="1" applyProtection="1">
      <alignment horizontal="left" vertical="top" wrapText="1"/>
      <protection locked="0"/>
    </xf>
    <xf numFmtId="0" fontId="3" fillId="0" borderId="22" xfId="0" applyFont="1" applyBorder="1" applyAlignment="1" applyProtection="1">
      <alignment horizontal="left" vertical="top" wrapText="1"/>
      <protection locked="0"/>
    </xf>
    <xf numFmtId="0" fontId="6" fillId="0" borderId="22" xfId="0" applyFont="1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horizontal="center" vertical="top" wrapText="1"/>
      <protection locked="0"/>
    </xf>
    <xf numFmtId="0" fontId="0" fillId="0" borderId="23" xfId="0" applyBorder="1" applyAlignment="1" applyProtection="1">
      <alignment horizontal="center" vertical="top" wrapText="1"/>
      <protection locked="0"/>
    </xf>
    <xf numFmtId="0" fontId="0" fillId="0" borderId="41" xfId="0" applyBorder="1" applyAlignment="1">
      <alignment horizontal="left" vertical="top" wrapText="1"/>
    </xf>
    <xf numFmtId="0" fontId="3" fillId="0" borderId="43" xfId="0" applyFont="1" applyBorder="1" applyAlignment="1" applyProtection="1">
      <alignment vertical="top" wrapText="1"/>
      <protection locked="0"/>
    </xf>
    <xf numFmtId="0" fontId="0" fillId="0" borderId="45" xfId="0" applyBorder="1" applyAlignment="1">
      <alignment horizontal="left" vertical="top" wrapText="1"/>
    </xf>
    <xf numFmtId="0" fontId="3" fillId="0" borderId="44" xfId="0" applyFont="1" applyBorder="1" applyAlignment="1" applyProtection="1">
      <alignment horizontal="left" vertical="top" wrapText="1"/>
      <protection locked="0"/>
    </xf>
    <xf numFmtId="0" fontId="3" fillId="0" borderId="28" xfId="0" applyFont="1" applyBorder="1" applyAlignment="1" applyProtection="1">
      <alignment horizontal="left" vertical="top" wrapText="1"/>
      <protection locked="0"/>
    </xf>
    <xf numFmtId="0" fontId="6" fillId="0" borderId="28" xfId="0" applyFont="1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center" vertical="top" wrapText="1"/>
      <protection locked="0"/>
    </xf>
    <xf numFmtId="0" fontId="0" fillId="0" borderId="29" xfId="0" applyBorder="1" applyAlignment="1" applyProtection="1">
      <alignment horizontal="center" vertical="top" wrapText="1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50" xfId="0" applyFont="1" applyBorder="1" applyAlignment="1" applyProtection="1">
      <alignment horizontal="left" vertical="top" wrapText="1"/>
      <protection locked="0"/>
    </xf>
    <xf numFmtId="0" fontId="3" fillId="0" borderId="51" xfId="0" applyFont="1" applyBorder="1" applyAlignment="1">
      <alignment horizontal="left" vertical="top" wrapText="1"/>
    </xf>
    <xf numFmtId="0" fontId="0" fillId="0" borderId="41" xfId="0" applyBorder="1" applyAlignment="1" applyProtection="1">
      <alignment horizontal="left" vertical="top" wrapText="1"/>
      <protection locked="0"/>
    </xf>
    <xf numFmtId="0" fontId="0" fillId="0" borderId="46" xfId="0" applyBorder="1" applyAlignment="1" applyProtection="1">
      <alignment horizontal="left" vertical="top" wrapText="1"/>
      <protection locked="0"/>
    </xf>
    <xf numFmtId="0" fontId="3" fillId="0" borderId="47" xfId="0" applyFont="1" applyBorder="1" applyAlignment="1" applyProtection="1">
      <alignment horizontal="left" vertical="top" wrapText="1"/>
      <protection locked="0"/>
    </xf>
    <xf numFmtId="0" fontId="3" fillId="0" borderId="36" xfId="0" applyFont="1" applyBorder="1" applyAlignment="1" applyProtection="1">
      <alignment horizontal="left" vertical="top" wrapText="1"/>
      <protection locked="0"/>
    </xf>
    <xf numFmtId="0" fontId="6" fillId="0" borderId="36" xfId="0" applyFont="1" applyBorder="1" applyAlignment="1" applyProtection="1">
      <alignment horizontal="left" vertical="top" wrapText="1"/>
      <protection locked="0"/>
    </xf>
    <xf numFmtId="0" fontId="0" fillId="0" borderId="36" xfId="0" applyBorder="1" applyAlignment="1" applyProtection="1">
      <alignment horizontal="center" vertical="top" wrapText="1"/>
      <protection locked="0"/>
    </xf>
    <xf numFmtId="0" fontId="0" fillId="0" borderId="37" xfId="0" applyBorder="1" applyAlignment="1" applyProtection="1">
      <alignment horizontal="center" vertical="top" wrapText="1"/>
      <protection locked="0"/>
    </xf>
    <xf numFmtId="0" fontId="0" fillId="0" borderId="42" xfId="0" applyBorder="1" applyAlignment="1" applyProtection="1">
      <alignment horizontal="left" vertical="top" wrapText="1"/>
      <protection locked="0"/>
    </xf>
    <xf numFmtId="0" fontId="11" fillId="0" borderId="55" xfId="0" applyFont="1" applyBorder="1" applyAlignment="1">
      <alignment horizontal="left" vertical="top" wrapText="1"/>
    </xf>
    <xf numFmtId="0" fontId="3" fillId="0" borderId="56" xfId="0" applyFont="1" applyBorder="1" applyAlignment="1" applyProtection="1">
      <alignment horizontal="left" vertical="top" wrapText="1"/>
      <protection locked="0"/>
    </xf>
    <xf numFmtId="0" fontId="4" fillId="0" borderId="25" xfId="0" applyFont="1" applyBorder="1" applyAlignment="1" applyProtection="1">
      <alignment horizontal="left" vertical="top" wrapText="1"/>
      <protection locked="0"/>
    </xf>
    <xf numFmtId="0" fontId="3" fillId="0" borderId="25" xfId="0" applyFont="1" applyBorder="1" applyAlignment="1" applyProtection="1">
      <alignment horizontal="left" vertical="top" wrapText="1"/>
      <protection locked="0"/>
    </xf>
    <xf numFmtId="0" fontId="2" fillId="0" borderId="25" xfId="0" applyFont="1" applyBorder="1" applyAlignment="1" applyProtection="1">
      <alignment horizontal="left" vertical="top" wrapText="1"/>
      <protection locked="0"/>
    </xf>
    <xf numFmtId="0" fontId="0" fillId="0" borderId="25" xfId="0" applyBorder="1" applyAlignment="1" applyProtection="1">
      <alignment horizontal="left" vertical="top" wrapText="1"/>
      <protection locked="0"/>
    </xf>
    <xf numFmtId="0" fontId="2" fillId="0" borderId="25" xfId="0" applyFont="1" applyBorder="1" applyAlignment="1" applyProtection="1">
      <alignment horizontal="center" vertical="top" wrapText="1"/>
      <protection locked="0"/>
    </xf>
    <xf numFmtId="0" fontId="2" fillId="0" borderId="26" xfId="0" applyFont="1" applyBorder="1" applyAlignment="1" applyProtection="1">
      <alignment horizontal="center" vertical="top" wrapText="1"/>
      <protection locked="0"/>
    </xf>
    <xf numFmtId="0" fontId="4" fillId="0" borderId="19" xfId="0" applyFont="1" applyBorder="1" applyAlignment="1" applyProtection="1">
      <alignment horizontal="left" vertical="top" wrapText="1"/>
      <protection locked="0"/>
    </xf>
    <xf numFmtId="0" fontId="2" fillId="0" borderId="19" xfId="0" applyFont="1" applyBorder="1" applyAlignment="1" applyProtection="1">
      <alignment horizontal="left" vertical="top" wrapText="1"/>
      <protection locked="0"/>
    </xf>
    <xf numFmtId="0" fontId="2" fillId="0" borderId="19" xfId="0" applyFont="1" applyBorder="1" applyAlignment="1" applyProtection="1">
      <alignment horizontal="center" vertical="top" wrapText="1"/>
      <protection locked="0"/>
    </xf>
    <xf numFmtId="0" fontId="2" fillId="0" borderId="20" xfId="0" applyFont="1" applyBorder="1" applyAlignment="1" applyProtection="1">
      <alignment horizontal="center" vertical="top" wrapText="1"/>
      <protection locked="0"/>
    </xf>
    <xf numFmtId="9" fontId="2" fillId="0" borderId="19" xfId="0" applyNumberFormat="1" applyFont="1" applyBorder="1" applyAlignment="1" applyProtection="1">
      <alignment horizontal="left" vertical="top" wrapText="1"/>
      <protection locked="0"/>
    </xf>
    <xf numFmtId="0" fontId="0" fillId="0" borderId="45" xfId="0" applyBorder="1" applyAlignment="1" applyProtection="1">
      <alignment horizontal="left" vertical="top" wrapText="1"/>
      <protection locked="0"/>
    </xf>
    <xf numFmtId="0" fontId="2" fillId="0" borderId="28" xfId="0" applyFont="1" applyBorder="1" applyAlignment="1" applyProtection="1">
      <alignment horizontal="center" vertical="top" wrapText="1"/>
      <protection locked="0"/>
    </xf>
    <xf numFmtId="0" fontId="2" fillId="0" borderId="29" xfId="0" applyFont="1" applyBorder="1" applyAlignment="1" applyProtection="1">
      <alignment horizontal="center" vertical="top" wrapText="1"/>
      <protection locked="0"/>
    </xf>
    <xf numFmtId="0" fontId="3" fillId="0" borderId="38" xfId="0" applyFont="1" applyBorder="1" applyAlignment="1" applyProtection="1">
      <alignment horizontal="center" vertical="top" wrapText="1"/>
      <protection locked="0"/>
    </xf>
    <xf numFmtId="0" fontId="3" fillId="0" borderId="39" xfId="0" applyFont="1" applyBorder="1" applyAlignment="1" applyProtection="1">
      <alignment horizontal="center" vertical="top" wrapText="1"/>
      <protection locked="0"/>
    </xf>
    <xf numFmtId="9" fontId="3" fillId="0" borderId="19" xfId="0" applyNumberFormat="1" applyFont="1" applyBorder="1" applyAlignment="1" applyProtection="1">
      <alignment horizontal="left" vertical="top" wrapText="1"/>
      <protection locked="0"/>
    </xf>
    <xf numFmtId="0" fontId="3" fillId="0" borderId="19" xfId="0" applyFont="1" applyBorder="1" applyAlignment="1" applyProtection="1">
      <alignment horizontal="center" vertical="top" wrapText="1"/>
      <protection locked="0"/>
    </xf>
    <xf numFmtId="0" fontId="3" fillId="0" borderId="20" xfId="0" applyFont="1" applyBorder="1" applyAlignment="1" applyProtection="1">
      <alignment horizontal="center" vertical="top" wrapText="1"/>
      <protection locked="0"/>
    </xf>
    <xf numFmtId="0" fontId="3" fillId="0" borderId="36" xfId="0" applyFont="1" applyBorder="1" applyAlignment="1" applyProtection="1">
      <alignment horizontal="center" vertical="top" wrapText="1"/>
      <protection locked="0"/>
    </xf>
    <xf numFmtId="0" fontId="3" fillId="0" borderId="37" xfId="0" applyFont="1" applyBorder="1" applyAlignment="1" applyProtection="1">
      <alignment horizontal="center" vertical="top" wrapText="1"/>
      <protection locked="0"/>
    </xf>
    <xf numFmtId="9" fontId="3" fillId="0" borderId="38" xfId="0" applyNumberFormat="1" applyFont="1" applyBorder="1" applyAlignment="1" applyProtection="1">
      <alignment horizontal="left" vertical="top" wrapText="1"/>
      <protection locked="0"/>
    </xf>
    <xf numFmtId="0" fontId="3" fillId="0" borderId="22" xfId="0" applyFont="1" applyBorder="1" applyAlignment="1" applyProtection="1">
      <alignment horizontal="center" vertical="top" wrapText="1"/>
      <protection locked="0"/>
    </xf>
    <xf numFmtId="0" fontId="3" fillId="0" borderId="23" xfId="0" applyFont="1" applyBorder="1" applyAlignment="1" applyProtection="1">
      <alignment horizontal="center" vertical="top" wrapText="1"/>
      <protection locked="0"/>
    </xf>
    <xf numFmtId="0" fontId="5" fillId="0" borderId="19" xfId="0" applyFont="1" applyBorder="1" applyAlignment="1" applyProtection="1">
      <alignment horizontal="left" vertical="top" wrapText="1"/>
      <protection locked="0"/>
    </xf>
    <xf numFmtId="0" fontId="6" fillId="0" borderId="19" xfId="0" applyFont="1" applyBorder="1" applyAlignment="1" applyProtection="1">
      <alignment horizontal="left" vertical="top" wrapText="1"/>
      <protection locked="0"/>
    </xf>
    <xf numFmtId="0" fontId="0" fillId="0" borderId="36" xfId="0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horizontal="left" vertical="top" wrapText="1"/>
      <protection locked="0"/>
    </xf>
    <xf numFmtId="0" fontId="2" fillId="0" borderId="51" xfId="0" applyFont="1" applyBorder="1" applyAlignment="1" applyProtection="1">
      <alignment horizontal="left" vertical="top" wrapText="1"/>
      <protection locked="0"/>
    </xf>
    <xf numFmtId="0" fontId="2" fillId="0" borderId="38" xfId="0" applyFont="1" applyBorder="1" applyAlignment="1" applyProtection="1">
      <alignment horizontal="left" vertical="top" wrapText="1"/>
      <protection locked="0"/>
    </xf>
    <xf numFmtId="0" fontId="2" fillId="0" borderId="43" xfId="0" applyFont="1" applyBorder="1" applyAlignment="1" applyProtection="1">
      <alignment horizontal="left" vertical="top" wrapText="1"/>
      <protection locked="0"/>
    </xf>
    <xf numFmtId="0" fontId="12" fillId="4" borderId="21" xfId="0" applyFont="1" applyFill="1" applyBorder="1" applyAlignment="1" applyProtection="1">
      <alignment horizontal="center" vertical="top" wrapText="1"/>
      <protection locked="0"/>
    </xf>
    <xf numFmtId="0" fontId="12" fillId="4" borderId="22" xfId="0" applyFont="1" applyFill="1" applyBorder="1" applyAlignment="1" applyProtection="1">
      <alignment horizontal="center" vertical="top" wrapText="1"/>
      <protection locked="0"/>
    </xf>
    <xf numFmtId="0" fontId="12" fillId="4" borderId="23" xfId="0" applyFont="1" applyFill="1" applyBorder="1" applyAlignment="1" applyProtection="1">
      <alignment horizontal="center" vertical="top" wrapText="1"/>
      <protection locked="0"/>
    </xf>
    <xf numFmtId="0" fontId="12" fillId="4" borderId="33" xfId="0" applyFont="1" applyFill="1" applyBorder="1" applyAlignment="1" applyProtection="1">
      <alignment horizontal="center" vertical="center" wrapText="1"/>
      <protection locked="0"/>
    </xf>
    <xf numFmtId="0" fontId="12" fillId="4" borderId="57" xfId="0" applyFont="1" applyFill="1" applyBorder="1" applyAlignment="1" applyProtection="1">
      <alignment horizontal="center" vertical="center" wrapText="1"/>
      <protection locked="0"/>
    </xf>
    <xf numFmtId="0" fontId="15" fillId="2" borderId="48" xfId="0" applyFont="1" applyFill="1" applyBorder="1" applyAlignment="1">
      <alignment horizontal="left" vertical="top"/>
    </xf>
    <xf numFmtId="0" fontId="9" fillId="2" borderId="49" xfId="0" applyFont="1" applyFill="1" applyBorder="1" applyAlignment="1">
      <alignment horizontal="left" vertical="top"/>
    </xf>
    <xf numFmtId="0" fontId="9" fillId="2" borderId="74" xfId="0" applyFont="1" applyFill="1" applyBorder="1" applyAlignment="1">
      <alignment horizontal="left" vertical="top" wrapText="1"/>
    </xf>
    <xf numFmtId="0" fontId="8" fillId="5" borderId="52" xfId="0" applyFont="1" applyFill="1" applyBorder="1" applyAlignment="1">
      <alignment horizontal="center" vertical="top" wrapText="1"/>
    </xf>
    <xf numFmtId="0" fontId="1" fillId="5" borderId="53" xfId="0" applyFont="1" applyFill="1" applyBorder="1" applyAlignment="1">
      <alignment horizontal="left" vertical="top"/>
    </xf>
    <xf numFmtId="0" fontId="1" fillId="5" borderId="54" xfId="0" applyFont="1" applyFill="1" applyBorder="1" applyAlignment="1">
      <alignment horizontal="left" vertical="top"/>
    </xf>
    <xf numFmtId="0" fontId="1" fillId="5" borderId="53" xfId="0" applyFont="1" applyFill="1" applyBorder="1" applyAlignment="1">
      <alignment horizontal="left" vertical="top" wrapText="1"/>
    </xf>
    <xf numFmtId="0" fontId="14" fillId="2" borderId="48" xfId="0" applyFont="1" applyFill="1" applyBorder="1" applyAlignment="1">
      <alignment horizontal="left" vertical="top"/>
    </xf>
    <xf numFmtId="0" fontId="7" fillId="2" borderId="49" xfId="0" applyFont="1" applyFill="1" applyBorder="1" applyAlignment="1">
      <alignment horizontal="left" vertical="top"/>
    </xf>
    <xf numFmtId="0" fontId="1" fillId="2" borderId="49" xfId="0" applyFont="1" applyFill="1" applyBorder="1" applyAlignment="1">
      <alignment horizontal="left" vertical="top" wrapText="1"/>
    </xf>
    <xf numFmtId="0" fontId="1" fillId="2" borderId="49" xfId="0" applyFont="1" applyFill="1" applyBorder="1" applyAlignment="1">
      <alignment horizontal="left" vertical="top"/>
    </xf>
    <xf numFmtId="0" fontId="14" fillId="2" borderId="48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 wrapText="1"/>
      <protection locked="0"/>
    </xf>
    <xf numFmtId="0" fontId="14" fillId="2" borderId="77" xfId="0" applyFont="1" applyFill="1" applyBorder="1" applyAlignment="1">
      <alignment horizontal="left" vertical="top"/>
    </xf>
    <xf numFmtId="0" fontId="1" fillId="2" borderId="78" xfId="0" applyFont="1" applyFill="1" applyBorder="1" applyAlignment="1">
      <alignment horizontal="left" vertical="top"/>
    </xf>
    <xf numFmtId="0" fontId="1" fillId="2" borderId="78" xfId="0" applyFont="1" applyFill="1" applyBorder="1" applyAlignment="1">
      <alignment horizontal="left" vertical="top" wrapText="1"/>
    </xf>
    <xf numFmtId="0" fontId="8" fillId="5" borderId="52" xfId="0" applyFont="1" applyFill="1" applyBorder="1" applyAlignment="1">
      <alignment horizontal="center" vertical="top"/>
    </xf>
    <xf numFmtId="0" fontId="10" fillId="6" borderId="17" xfId="0" applyFont="1" applyFill="1" applyBorder="1" applyAlignment="1" applyProtection="1">
      <alignment vertical="center" wrapText="1"/>
      <protection locked="0"/>
    </xf>
    <xf numFmtId="0" fontId="14" fillId="6" borderId="15" xfId="0" applyFont="1" applyFill="1" applyBorder="1" applyAlignment="1" applyProtection="1">
      <alignment vertical="center" wrapText="1"/>
      <protection locked="0"/>
    </xf>
    <xf numFmtId="0" fontId="10" fillId="6" borderId="20" xfId="0" applyFont="1" applyFill="1" applyBorder="1" applyAlignment="1" applyProtection="1">
      <alignment vertical="center" wrapText="1"/>
      <protection locked="0"/>
    </xf>
    <xf numFmtId="0" fontId="14" fillId="6" borderId="18" xfId="0" applyFont="1" applyFill="1" applyBorder="1" applyAlignment="1" applyProtection="1">
      <alignment vertical="center" wrapText="1"/>
      <protection locked="0"/>
    </xf>
    <xf numFmtId="0" fontId="10" fillId="6" borderId="23" xfId="0" applyFont="1" applyFill="1" applyBorder="1" applyAlignment="1" applyProtection="1">
      <alignment vertical="center" wrapText="1"/>
      <protection locked="0"/>
    </xf>
    <xf numFmtId="0" fontId="14" fillId="6" borderId="21" xfId="0" applyFont="1" applyFill="1" applyBorder="1" applyAlignment="1" applyProtection="1">
      <alignment vertical="center" wrapText="1"/>
      <protection locked="0"/>
    </xf>
    <xf numFmtId="0" fontId="23" fillId="0" borderId="20" xfId="0" applyFont="1" applyBorder="1" applyAlignment="1" applyProtection="1">
      <alignment horizontal="left" vertical="center"/>
      <protection locked="0"/>
    </xf>
    <xf numFmtId="14" fontId="23" fillId="0" borderId="20" xfId="0" applyNumberFormat="1" applyFont="1" applyBorder="1" applyAlignment="1" applyProtection="1">
      <alignment horizontal="left" vertical="center"/>
      <protection locked="0"/>
    </xf>
    <xf numFmtId="14" fontId="23" fillId="0" borderId="17" xfId="0" applyNumberFormat="1" applyFont="1" applyBorder="1" applyAlignment="1" applyProtection="1">
      <alignment horizontal="left" vertical="center"/>
      <protection locked="0"/>
    </xf>
    <xf numFmtId="14" fontId="23" fillId="0" borderId="23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center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3" fillId="0" borderId="0" xfId="0" applyFont="1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center" vertical="top" wrapText="1"/>
      <protection locked="0"/>
    </xf>
    <xf numFmtId="0" fontId="10" fillId="7" borderId="12" xfId="0" applyFont="1" applyFill="1" applyBorder="1" applyAlignment="1" applyProtection="1">
      <alignment horizontal="left" wrapText="1"/>
      <protection locked="0"/>
    </xf>
    <xf numFmtId="0" fontId="10" fillId="7" borderId="12" xfId="0" applyFont="1" applyFill="1" applyBorder="1" applyAlignment="1" applyProtection="1">
      <alignment wrapText="1"/>
      <protection locked="0"/>
    </xf>
    <xf numFmtId="0" fontId="14" fillId="7" borderId="11" xfId="0" applyFont="1" applyFill="1" applyBorder="1" applyAlignment="1" applyProtection="1">
      <alignment horizontal="left" vertical="center"/>
      <protection locked="0"/>
    </xf>
    <xf numFmtId="0" fontId="14" fillId="7" borderId="12" xfId="0" applyFont="1" applyFill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alignment horizontal="center" vertical="top" wrapText="1"/>
      <protection locked="0"/>
    </xf>
    <xf numFmtId="49" fontId="7" fillId="5" borderId="9" xfId="0" applyNumberFormat="1" applyFont="1" applyFill="1" applyBorder="1" applyAlignment="1" applyProtection="1">
      <alignment horizontal="center" vertical="top" wrapText="1"/>
      <protection locked="0"/>
    </xf>
    <xf numFmtId="0" fontId="3" fillId="0" borderId="28" xfId="0" applyFont="1" applyBorder="1" applyAlignment="1" applyProtection="1">
      <alignment horizontal="center" vertical="top" wrapText="1"/>
      <protection locked="0"/>
    </xf>
    <xf numFmtId="0" fontId="10" fillId="0" borderId="0" xfId="0" applyFont="1" applyAlignment="1" applyProtection="1">
      <alignment horizontal="center" wrapText="1"/>
      <protection locked="0"/>
    </xf>
    <xf numFmtId="0" fontId="10" fillId="0" borderId="0" xfId="0" applyFont="1" applyAlignment="1" applyProtection="1">
      <alignment horizontal="left" wrapText="1"/>
      <protection locked="0"/>
    </xf>
    <xf numFmtId="0" fontId="10" fillId="0" borderId="0" xfId="0" applyFont="1" applyAlignment="1" applyProtection="1">
      <alignment wrapText="1"/>
      <protection locked="0"/>
    </xf>
    <xf numFmtId="0" fontId="10" fillId="0" borderId="0" xfId="0" applyFont="1" applyAlignment="1" applyProtection="1">
      <alignment horizontal="center" vertical="top" wrapText="1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left"/>
      <protection locked="0"/>
    </xf>
    <xf numFmtId="0" fontId="10" fillId="0" borderId="0" xfId="0" applyFont="1" applyAlignment="1" applyProtection="1">
      <alignment horizontal="left" vertical="top"/>
      <protection locked="0"/>
    </xf>
    <xf numFmtId="0" fontId="14" fillId="0" borderId="0" xfId="0" applyFont="1" applyAlignment="1" applyProtection="1">
      <alignment horizontal="left"/>
      <protection locked="0"/>
    </xf>
    <xf numFmtId="0" fontId="24" fillId="5" borderId="52" xfId="0" applyFont="1" applyFill="1" applyBorder="1" applyAlignment="1">
      <alignment horizontal="center" vertical="top" wrapText="1"/>
    </xf>
    <xf numFmtId="0" fontId="25" fillId="0" borderId="19" xfId="1" applyBorder="1" applyAlignment="1" applyProtection="1">
      <alignment horizontal="left" vertical="top" wrapText="1"/>
      <protection locked="0"/>
    </xf>
    <xf numFmtId="49" fontId="7" fillId="5" borderId="59" xfId="0" applyNumberFormat="1" applyFont="1" applyFill="1" applyBorder="1" applyAlignment="1" applyProtection="1">
      <alignment horizontal="center" vertical="top" wrapText="1"/>
      <protection locked="0"/>
    </xf>
    <xf numFmtId="49" fontId="7" fillId="5" borderId="60" xfId="0" applyNumberFormat="1" applyFont="1" applyFill="1" applyBorder="1" applyAlignment="1" applyProtection="1">
      <alignment horizontal="center" vertical="top" wrapText="1"/>
      <protection locked="0"/>
    </xf>
    <xf numFmtId="49" fontId="7" fillId="5" borderId="71" xfId="0" applyNumberFormat="1" applyFont="1" applyFill="1" applyBorder="1" applyAlignment="1" applyProtection="1">
      <alignment horizontal="center" vertical="top" wrapText="1"/>
      <protection locked="0"/>
    </xf>
    <xf numFmtId="0" fontId="0" fillId="5" borderId="59" xfId="0" applyFill="1" applyBorder="1" applyAlignment="1" applyProtection="1">
      <alignment horizontal="center" vertical="top" wrapText="1"/>
      <protection locked="0"/>
    </xf>
    <xf numFmtId="0" fontId="0" fillId="5" borderId="9" xfId="0" applyFill="1" applyBorder="1" applyAlignment="1" applyProtection="1">
      <alignment horizontal="center" vertical="top" wrapText="1"/>
      <protection locked="0"/>
    </xf>
    <xf numFmtId="0" fontId="12" fillId="4" borderId="15" xfId="0" applyFont="1" applyFill="1" applyBorder="1" applyAlignment="1" applyProtection="1">
      <alignment horizontal="center" vertical="center" wrapText="1"/>
      <protection locked="0"/>
    </xf>
    <xf numFmtId="0" fontId="12" fillId="4" borderId="16" xfId="0" applyFont="1" applyFill="1" applyBorder="1" applyAlignment="1" applyProtection="1">
      <alignment horizontal="center" vertical="center" wrapText="1"/>
      <protection locked="0"/>
    </xf>
    <xf numFmtId="0" fontId="12" fillId="4" borderId="17" xfId="0" applyFont="1" applyFill="1" applyBorder="1" applyAlignment="1" applyProtection="1">
      <alignment horizontal="center" vertical="center" wrapText="1"/>
      <protection locked="0"/>
    </xf>
    <xf numFmtId="0" fontId="0" fillId="3" borderId="63" xfId="0" applyFill="1" applyBorder="1" applyAlignment="1" applyProtection="1">
      <alignment horizontal="left" vertical="top" wrapText="1"/>
      <protection locked="0"/>
    </xf>
    <xf numFmtId="0" fontId="0" fillId="3" borderId="64" xfId="0" applyFill="1" applyBorder="1" applyAlignment="1" applyProtection="1">
      <alignment horizontal="left" vertical="top" wrapText="1"/>
      <protection locked="0"/>
    </xf>
    <xf numFmtId="0" fontId="0" fillId="3" borderId="65" xfId="0" applyFill="1" applyBorder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center"/>
      <protection locked="0"/>
    </xf>
    <xf numFmtId="0" fontId="10" fillId="6" borderId="22" xfId="0" applyFont="1" applyFill="1" applyBorder="1" applyAlignment="1" applyProtection="1">
      <alignment horizontal="left" vertical="center" wrapText="1"/>
      <protection locked="0"/>
    </xf>
    <xf numFmtId="0" fontId="10" fillId="6" borderId="23" xfId="0" applyFont="1" applyFill="1" applyBorder="1" applyAlignment="1" applyProtection="1">
      <alignment horizontal="left" vertical="center" wrapText="1"/>
      <protection locked="0"/>
    </xf>
    <xf numFmtId="0" fontId="14" fillId="6" borderId="15" xfId="0" applyFont="1" applyFill="1" applyBorder="1" applyAlignment="1" applyProtection="1">
      <alignment horizontal="left" vertical="center" wrapText="1"/>
      <protection locked="0"/>
    </xf>
    <xf numFmtId="0" fontId="14" fillId="6" borderId="16" xfId="0" applyFont="1" applyFill="1" applyBorder="1" applyAlignment="1" applyProtection="1">
      <alignment horizontal="left" vertical="center" wrapText="1"/>
      <protection locked="0"/>
    </xf>
    <xf numFmtId="0" fontId="14" fillId="6" borderId="18" xfId="0" applyFont="1" applyFill="1" applyBorder="1" applyAlignment="1" applyProtection="1">
      <alignment horizontal="left" vertical="center" wrapText="1"/>
      <protection locked="0"/>
    </xf>
    <xf numFmtId="0" fontId="14" fillId="6" borderId="19" xfId="0" applyFont="1" applyFill="1" applyBorder="1" applyAlignment="1" applyProtection="1">
      <alignment horizontal="left" vertical="center" wrapText="1"/>
      <protection locked="0"/>
    </xf>
    <xf numFmtId="0" fontId="14" fillId="6" borderId="21" xfId="0" applyFont="1" applyFill="1" applyBorder="1" applyAlignment="1" applyProtection="1">
      <alignment horizontal="left" vertical="center" wrapText="1"/>
      <protection locked="0"/>
    </xf>
    <xf numFmtId="0" fontId="14" fillId="6" borderId="22" xfId="0" applyFont="1" applyFill="1" applyBorder="1" applyAlignment="1" applyProtection="1">
      <alignment horizontal="left" vertical="center" wrapText="1"/>
      <protection locked="0"/>
    </xf>
    <xf numFmtId="0" fontId="10" fillId="6" borderId="16" xfId="0" applyFont="1" applyFill="1" applyBorder="1" applyAlignment="1" applyProtection="1">
      <alignment horizontal="left" vertical="center" wrapText="1"/>
      <protection locked="0"/>
    </xf>
    <xf numFmtId="0" fontId="10" fillId="6" borderId="17" xfId="0" applyFont="1" applyFill="1" applyBorder="1" applyAlignment="1" applyProtection="1">
      <alignment horizontal="left" vertical="center" wrapText="1"/>
      <protection locked="0"/>
    </xf>
    <xf numFmtId="0" fontId="10" fillId="6" borderId="19" xfId="0" applyFont="1" applyFill="1" applyBorder="1" applyAlignment="1" applyProtection="1">
      <alignment horizontal="left" vertical="center" wrapText="1"/>
      <protection locked="0"/>
    </xf>
    <xf numFmtId="0" fontId="10" fillId="6" borderId="20" xfId="0" applyFont="1" applyFill="1" applyBorder="1" applyAlignment="1" applyProtection="1">
      <alignment horizontal="left" vertical="center" wrapText="1"/>
      <protection locked="0"/>
    </xf>
    <xf numFmtId="0" fontId="19" fillId="0" borderId="9" xfId="0" applyFont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19" fillId="0" borderId="8" xfId="0" applyFont="1" applyBorder="1" applyAlignment="1">
      <alignment horizontal="left" vertical="center"/>
    </xf>
    <xf numFmtId="0" fontId="19" fillId="0" borderId="4" xfId="0" applyFont="1" applyBorder="1" applyAlignment="1">
      <alignment horizontal="left" vertical="center"/>
    </xf>
    <xf numFmtId="0" fontId="19" fillId="0" borderId="5" xfId="0" applyFont="1" applyBorder="1" applyAlignment="1">
      <alignment horizontal="left" vertical="center"/>
    </xf>
    <xf numFmtId="0" fontId="19" fillId="0" borderId="58" xfId="0" applyFont="1" applyBorder="1" applyAlignment="1">
      <alignment horizontal="left" vertical="center"/>
    </xf>
    <xf numFmtId="0" fontId="19" fillId="0" borderId="62" xfId="0" applyFont="1" applyBorder="1" applyAlignment="1">
      <alignment horizontal="left" vertical="center"/>
    </xf>
    <xf numFmtId="0" fontId="19" fillId="0" borderId="73" xfId="0" applyFont="1" applyBorder="1" applyAlignment="1">
      <alignment horizontal="left" vertical="center"/>
    </xf>
    <xf numFmtId="0" fontId="8" fillId="0" borderId="66" xfId="0" applyFont="1" applyBorder="1" applyAlignment="1" applyProtection="1">
      <alignment horizontal="center" wrapText="1"/>
      <protection locked="0"/>
    </xf>
    <xf numFmtId="0" fontId="8" fillId="0" borderId="30" xfId="0" applyFont="1" applyBorder="1" applyAlignment="1" applyProtection="1">
      <alignment horizontal="center" wrapText="1"/>
      <protection locked="0"/>
    </xf>
    <xf numFmtId="0" fontId="8" fillId="0" borderId="67" xfId="0" applyFont="1" applyBorder="1" applyAlignment="1" applyProtection="1">
      <alignment horizontal="center" wrapText="1"/>
      <protection locked="0"/>
    </xf>
    <xf numFmtId="0" fontId="8" fillId="0" borderId="10" xfId="0" applyFont="1" applyBorder="1" applyAlignment="1" applyProtection="1">
      <alignment horizontal="center" wrapText="1"/>
      <protection locked="0"/>
    </xf>
    <xf numFmtId="0" fontId="8" fillId="0" borderId="0" xfId="0" applyFont="1" applyAlignment="1" applyProtection="1">
      <alignment horizontal="center" wrapText="1"/>
      <protection locked="0"/>
    </xf>
    <xf numFmtId="0" fontId="8" fillId="0" borderId="34" xfId="0" applyFont="1" applyBorder="1" applyAlignment="1" applyProtection="1">
      <alignment horizontal="center" wrapText="1"/>
      <protection locked="0"/>
    </xf>
    <xf numFmtId="0" fontId="8" fillId="0" borderId="68" xfId="0" applyFont="1" applyBorder="1" applyAlignment="1" applyProtection="1">
      <alignment horizontal="center" wrapText="1"/>
      <protection locked="0"/>
    </xf>
    <xf numFmtId="0" fontId="8" fillId="0" borderId="69" xfId="0" applyFont="1" applyBorder="1" applyAlignment="1" applyProtection="1">
      <alignment horizontal="center" wrapText="1"/>
      <protection locked="0"/>
    </xf>
    <xf numFmtId="0" fontId="8" fillId="0" borderId="70" xfId="0" applyFont="1" applyBorder="1" applyAlignment="1" applyProtection="1">
      <alignment horizontal="center" wrapText="1"/>
      <protection locked="0"/>
    </xf>
    <xf numFmtId="0" fontId="18" fillId="0" borderId="3" xfId="0" applyFont="1" applyBorder="1" applyAlignment="1" applyProtection="1">
      <alignment horizontal="left" vertical="center" wrapText="1" indent="15"/>
      <protection locked="0"/>
    </xf>
    <xf numFmtId="0" fontId="18" fillId="0" borderId="4" xfId="0" applyFont="1" applyBorder="1" applyAlignment="1" applyProtection="1">
      <alignment horizontal="left" vertical="center" wrapText="1" indent="15"/>
      <protection locked="0"/>
    </xf>
    <xf numFmtId="0" fontId="18" fillId="0" borderId="5" xfId="0" applyFont="1" applyBorder="1" applyAlignment="1" applyProtection="1">
      <alignment horizontal="left" vertical="center" wrapText="1" indent="15"/>
      <protection locked="0"/>
    </xf>
    <xf numFmtId="0" fontId="18" fillId="0" borderId="6" xfId="0" applyFont="1" applyBorder="1" applyAlignment="1" applyProtection="1">
      <alignment horizontal="left" vertical="center" wrapText="1" indent="15"/>
      <protection locked="0"/>
    </xf>
    <xf numFmtId="0" fontId="18" fillId="0" borderId="1" xfId="0" applyFont="1" applyBorder="1" applyAlignment="1" applyProtection="1">
      <alignment horizontal="left" vertical="center" wrapText="1" indent="15"/>
      <protection locked="0"/>
    </xf>
    <xf numFmtId="0" fontId="18" fillId="0" borderId="7" xfId="0" applyFont="1" applyBorder="1" applyAlignment="1" applyProtection="1">
      <alignment horizontal="left" vertical="center" wrapText="1" indent="15"/>
      <protection locked="0"/>
    </xf>
    <xf numFmtId="0" fontId="0" fillId="0" borderId="60" xfId="0" applyBorder="1" applyAlignment="1" applyProtection="1">
      <alignment horizontal="left" vertical="center" wrapText="1"/>
      <protection locked="0"/>
    </xf>
    <xf numFmtId="0" fontId="0" fillId="0" borderId="71" xfId="0" applyBorder="1" applyAlignment="1" applyProtection="1">
      <alignment horizontal="left" vertical="center" wrapText="1"/>
      <protection locked="0"/>
    </xf>
    <xf numFmtId="0" fontId="0" fillId="0" borderId="62" xfId="0" applyBorder="1" applyAlignment="1" applyProtection="1">
      <alignment horizontal="left" wrapText="1"/>
      <protection locked="0"/>
    </xf>
    <xf numFmtId="0" fontId="0" fillId="0" borderId="73" xfId="0" applyBorder="1" applyAlignment="1" applyProtection="1">
      <alignment horizontal="left" wrapText="1"/>
      <protection locked="0"/>
    </xf>
    <xf numFmtId="0" fontId="21" fillId="2" borderId="75" xfId="0" applyFont="1" applyFill="1" applyBorder="1" applyAlignment="1">
      <alignment horizontal="center" vertical="top" wrapText="1"/>
    </xf>
    <xf numFmtId="0" fontId="21" fillId="2" borderId="61" xfId="0" applyFont="1" applyFill="1" applyBorder="1" applyAlignment="1">
      <alignment horizontal="center" vertical="top" wrapText="1"/>
    </xf>
    <xf numFmtId="0" fontId="21" fillId="2" borderId="8" xfId="0" applyFont="1" applyFill="1" applyBorder="1" applyAlignment="1">
      <alignment horizontal="center" vertical="top" wrapText="1"/>
    </xf>
    <xf numFmtId="0" fontId="21" fillId="2" borderId="76" xfId="0" applyFont="1" applyFill="1" applyBorder="1" applyAlignment="1">
      <alignment horizontal="center" vertical="top" wrapText="1"/>
    </xf>
    <xf numFmtId="0" fontId="12" fillId="4" borderId="79" xfId="0" applyFont="1" applyFill="1" applyBorder="1" applyAlignment="1" applyProtection="1">
      <alignment horizontal="center" vertical="center" wrapText="1"/>
      <protection locked="0"/>
    </xf>
    <xf numFmtId="0" fontId="12" fillId="4" borderId="14" xfId="0" applyFont="1" applyFill="1" applyBorder="1" applyAlignment="1" applyProtection="1">
      <alignment horizontal="center" vertical="center" wrapText="1"/>
      <protection locked="0"/>
    </xf>
    <xf numFmtId="0" fontId="21" fillId="2" borderId="75" xfId="0" applyFont="1" applyFill="1" applyBorder="1" applyAlignment="1">
      <alignment horizontal="center" vertical="center" wrapText="1"/>
    </xf>
    <xf numFmtId="0" fontId="21" fillId="2" borderId="8" xfId="0" applyFont="1" applyFill="1" applyBorder="1" applyAlignment="1">
      <alignment horizontal="center" vertical="center" wrapText="1"/>
    </xf>
    <xf numFmtId="0" fontId="21" fillId="2" borderId="61" xfId="0" applyFont="1" applyFill="1" applyBorder="1" applyAlignment="1">
      <alignment horizontal="center" vertical="center" wrapText="1"/>
    </xf>
    <xf numFmtId="0" fontId="21" fillId="2" borderId="76" xfId="0" applyFont="1" applyFill="1" applyBorder="1" applyAlignment="1">
      <alignment horizontal="center" vertical="center" wrapText="1"/>
    </xf>
    <xf numFmtId="0" fontId="14" fillId="7" borderId="12" xfId="0" applyFont="1" applyFill="1" applyBorder="1" applyAlignment="1" applyProtection="1">
      <alignment horizontal="center" vertical="top" wrapText="1"/>
      <protection locked="0"/>
    </xf>
    <xf numFmtId="0" fontId="14" fillId="7" borderId="13" xfId="0" applyFont="1" applyFill="1" applyBorder="1" applyAlignment="1" applyProtection="1">
      <alignment horizontal="center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17</xdr:row>
      <xdr:rowOff>66040</xdr:rowOff>
    </xdr:from>
    <xdr:to>
      <xdr:col>0</xdr:col>
      <xdr:colOff>190500</xdr:colOff>
      <xdr:row>17</xdr:row>
      <xdr:rowOff>203200</xdr:rowOff>
    </xdr:to>
    <xdr:sp macro="[0]!Sheet3.PERMIT" textlink="">
      <xdr:nvSpPr>
        <xdr:cNvPr id="2" name="Isosceles Triangle 1">
          <a:extLst>
            <a:ext uri="{FF2B5EF4-FFF2-40B4-BE49-F238E27FC236}">
              <a16:creationId xmlns:a16="http://schemas.microsoft.com/office/drawing/2014/main" id="{82FDA608-D728-4D37-BE5C-52482CD0502E}"/>
            </a:ext>
          </a:extLst>
        </xdr:cNvPr>
        <xdr:cNvSpPr>
          <a:spLocks/>
        </xdr:cNvSpPr>
      </xdr:nvSpPr>
      <xdr:spPr>
        <a:xfrm rot="10800000">
          <a:off x="53340" y="5485765"/>
          <a:ext cx="137160" cy="137160"/>
        </a:xfrm>
        <a:prstGeom prst="triangle">
          <a:avLst/>
        </a:prstGeom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53340</xdr:colOff>
      <xdr:row>29</xdr:row>
      <xdr:rowOff>62865</xdr:rowOff>
    </xdr:from>
    <xdr:to>
      <xdr:col>0</xdr:col>
      <xdr:colOff>190500</xdr:colOff>
      <xdr:row>29</xdr:row>
      <xdr:rowOff>200025</xdr:rowOff>
    </xdr:to>
    <xdr:sp macro="[0]!Sheet3.REBAR" textlink="">
      <xdr:nvSpPr>
        <xdr:cNvPr id="3" name="Isosceles Triangle 2">
          <a:extLst>
            <a:ext uri="{FF2B5EF4-FFF2-40B4-BE49-F238E27FC236}">
              <a16:creationId xmlns:a16="http://schemas.microsoft.com/office/drawing/2014/main" id="{FF9C117F-16CA-4D42-96D9-CB74E503B13B}"/>
            </a:ext>
          </a:extLst>
        </xdr:cNvPr>
        <xdr:cNvSpPr>
          <a:spLocks/>
        </xdr:cNvSpPr>
      </xdr:nvSpPr>
      <xdr:spPr>
        <a:xfrm rot="10800000">
          <a:off x="53340" y="4098001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53341</xdr:colOff>
      <xdr:row>40</xdr:row>
      <xdr:rowOff>72390</xdr:rowOff>
    </xdr:from>
    <xdr:to>
      <xdr:col>0</xdr:col>
      <xdr:colOff>190501</xdr:colOff>
      <xdr:row>40</xdr:row>
      <xdr:rowOff>209550</xdr:rowOff>
    </xdr:to>
    <xdr:sp macro="[0]!Sheet3.FORMS" textlink="">
      <xdr:nvSpPr>
        <xdr:cNvPr id="4" name="Isosceles Triangle 3">
          <a:extLst>
            <a:ext uri="{FF2B5EF4-FFF2-40B4-BE49-F238E27FC236}">
              <a16:creationId xmlns:a16="http://schemas.microsoft.com/office/drawing/2014/main" id="{2E0A12D5-687B-488F-9D5B-A62B2750A38C}"/>
            </a:ext>
          </a:extLst>
        </xdr:cNvPr>
        <xdr:cNvSpPr>
          <a:spLocks/>
        </xdr:cNvSpPr>
      </xdr:nvSpPr>
      <xdr:spPr>
        <a:xfrm rot="10800000">
          <a:off x="53341" y="6235065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53340</xdr:colOff>
      <xdr:row>51</xdr:row>
      <xdr:rowOff>62865</xdr:rowOff>
    </xdr:from>
    <xdr:to>
      <xdr:col>0</xdr:col>
      <xdr:colOff>190500</xdr:colOff>
      <xdr:row>51</xdr:row>
      <xdr:rowOff>200025</xdr:rowOff>
    </xdr:to>
    <xdr:sp macro="[0]!Sheet3.CONCRETE" textlink="">
      <xdr:nvSpPr>
        <xdr:cNvPr id="18" name="Isosceles Triangle 4">
          <a:extLst>
            <a:ext uri="{FF2B5EF4-FFF2-40B4-BE49-F238E27FC236}">
              <a16:creationId xmlns:a16="http://schemas.microsoft.com/office/drawing/2014/main" id="{9E4AF199-24F4-4D64-BF57-AA3D1E754943}"/>
            </a:ext>
          </a:extLst>
        </xdr:cNvPr>
        <xdr:cNvSpPr>
          <a:spLocks/>
        </xdr:cNvSpPr>
      </xdr:nvSpPr>
      <xdr:spPr>
        <a:xfrm rot="10800000">
          <a:off x="53340" y="17207865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53340</xdr:colOff>
      <xdr:row>85</xdr:row>
      <xdr:rowOff>62865</xdr:rowOff>
    </xdr:from>
    <xdr:to>
      <xdr:col>0</xdr:col>
      <xdr:colOff>190500</xdr:colOff>
      <xdr:row>85</xdr:row>
      <xdr:rowOff>200025</xdr:rowOff>
    </xdr:to>
    <xdr:sp macro="[0]!Sheet3.TOPPING" textlink="">
      <xdr:nvSpPr>
        <xdr:cNvPr id="6" name="Isosceles Triangle 5">
          <a:extLst>
            <a:ext uri="{FF2B5EF4-FFF2-40B4-BE49-F238E27FC236}">
              <a16:creationId xmlns:a16="http://schemas.microsoft.com/office/drawing/2014/main" id="{246FE6CE-8226-435C-A459-3E538862FB42}"/>
            </a:ext>
          </a:extLst>
        </xdr:cNvPr>
        <xdr:cNvSpPr>
          <a:spLocks/>
        </xdr:cNvSpPr>
      </xdr:nvSpPr>
      <xdr:spPr>
        <a:xfrm rot="10800000">
          <a:off x="53340" y="5615940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53341</xdr:colOff>
      <xdr:row>96</xdr:row>
      <xdr:rowOff>62865</xdr:rowOff>
    </xdr:from>
    <xdr:to>
      <xdr:col>0</xdr:col>
      <xdr:colOff>190501</xdr:colOff>
      <xdr:row>96</xdr:row>
      <xdr:rowOff>200025</xdr:rowOff>
    </xdr:to>
    <xdr:sp macro="[0]!Sheet3.TILES" textlink="">
      <xdr:nvSpPr>
        <xdr:cNvPr id="7" name="Isosceles Triangle 6">
          <a:extLst>
            <a:ext uri="{FF2B5EF4-FFF2-40B4-BE49-F238E27FC236}">
              <a16:creationId xmlns:a16="http://schemas.microsoft.com/office/drawing/2014/main" id="{99D00D17-2083-4B32-8B69-0F8449E4D767}"/>
            </a:ext>
          </a:extLst>
        </xdr:cNvPr>
        <xdr:cNvSpPr>
          <a:spLocks/>
        </xdr:cNvSpPr>
      </xdr:nvSpPr>
      <xdr:spPr>
        <a:xfrm rot="10800000">
          <a:off x="53341" y="5863590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53340</xdr:colOff>
      <xdr:row>105</xdr:row>
      <xdr:rowOff>72390</xdr:rowOff>
    </xdr:from>
    <xdr:to>
      <xdr:col>0</xdr:col>
      <xdr:colOff>190500</xdr:colOff>
      <xdr:row>105</xdr:row>
      <xdr:rowOff>209550</xdr:rowOff>
    </xdr:to>
    <xdr:sp macro="[0]!Sheet3.SANITARY" textlink="">
      <xdr:nvSpPr>
        <xdr:cNvPr id="8" name="Isosceles Triangle 7">
          <a:extLst>
            <a:ext uri="{FF2B5EF4-FFF2-40B4-BE49-F238E27FC236}">
              <a16:creationId xmlns:a16="http://schemas.microsoft.com/office/drawing/2014/main" id="{6D059C23-A818-4F42-A5A6-8E0367BEB39B}"/>
            </a:ext>
          </a:extLst>
        </xdr:cNvPr>
        <xdr:cNvSpPr>
          <a:spLocks/>
        </xdr:cNvSpPr>
      </xdr:nvSpPr>
      <xdr:spPr>
        <a:xfrm rot="10800000">
          <a:off x="53340" y="6368415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53340</xdr:colOff>
      <xdr:row>115</xdr:row>
      <xdr:rowOff>72390</xdr:rowOff>
    </xdr:from>
    <xdr:to>
      <xdr:col>0</xdr:col>
      <xdr:colOff>190500</xdr:colOff>
      <xdr:row>115</xdr:row>
      <xdr:rowOff>209550</xdr:rowOff>
    </xdr:to>
    <xdr:sp macro="[0]!Sheet3.PLUMBING" textlink="">
      <xdr:nvSpPr>
        <xdr:cNvPr id="9" name="Isosceles Triangle 8">
          <a:extLst>
            <a:ext uri="{FF2B5EF4-FFF2-40B4-BE49-F238E27FC236}">
              <a16:creationId xmlns:a16="http://schemas.microsoft.com/office/drawing/2014/main" id="{FD8E8E46-5064-4537-A2C7-52EC422EC94F}"/>
            </a:ext>
          </a:extLst>
        </xdr:cNvPr>
        <xdr:cNvSpPr>
          <a:spLocks/>
        </xdr:cNvSpPr>
      </xdr:nvSpPr>
      <xdr:spPr>
        <a:xfrm rot="10800000">
          <a:off x="53340" y="6616065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53340</xdr:colOff>
      <xdr:row>124</xdr:row>
      <xdr:rowOff>81915</xdr:rowOff>
    </xdr:from>
    <xdr:to>
      <xdr:col>0</xdr:col>
      <xdr:colOff>190500</xdr:colOff>
      <xdr:row>124</xdr:row>
      <xdr:rowOff>219075</xdr:rowOff>
    </xdr:to>
    <xdr:sp macro="[0]!Sheet3.FIREPRO" textlink="">
      <xdr:nvSpPr>
        <xdr:cNvPr id="10" name="Isosceles Triangle 9">
          <a:extLst>
            <a:ext uri="{FF2B5EF4-FFF2-40B4-BE49-F238E27FC236}">
              <a16:creationId xmlns:a16="http://schemas.microsoft.com/office/drawing/2014/main" id="{56CDC2D3-DBED-411B-A615-A5B81AD54D91}"/>
            </a:ext>
          </a:extLst>
        </xdr:cNvPr>
        <xdr:cNvSpPr>
          <a:spLocks/>
        </xdr:cNvSpPr>
      </xdr:nvSpPr>
      <xdr:spPr>
        <a:xfrm rot="10800000">
          <a:off x="53340" y="6873240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53341</xdr:colOff>
      <xdr:row>134</xdr:row>
      <xdr:rowOff>62865</xdr:rowOff>
    </xdr:from>
    <xdr:to>
      <xdr:col>0</xdr:col>
      <xdr:colOff>190501</xdr:colOff>
      <xdr:row>134</xdr:row>
      <xdr:rowOff>200025</xdr:rowOff>
    </xdr:to>
    <xdr:sp macro="[0]!Sheet3.ELEVATOR" textlink="">
      <xdr:nvSpPr>
        <xdr:cNvPr id="11" name="Isosceles Triangle 10">
          <a:extLst>
            <a:ext uri="{FF2B5EF4-FFF2-40B4-BE49-F238E27FC236}">
              <a16:creationId xmlns:a16="http://schemas.microsoft.com/office/drawing/2014/main" id="{E1062AC7-0F6E-41ED-9127-B91A7B482778}"/>
            </a:ext>
          </a:extLst>
        </xdr:cNvPr>
        <xdr:cNvSpPr>
          <a:spLocks/>
        </xdr:cNvSpPr>
      </xdr:nvSpPr>
      <xdr:spPr>
        <a:xfrm rot="10800000">
          <a:off x="53341" y="7101840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53341</xdr:colOff>
      <xdr:row>148</xdr:row>
      <xdr:rowOff>62865</xdr:rowOff>
    </xdr:from>
    <xdr:to>
      <xdr:col>0</xdr:col>
      <xdr:colOff>190501</xdr:colOff>
      <xdr:row>148</xdr:row>
      <xdr:rowOff>200025</xdr:rowOff>
    </xdr:to>
    <xdr:sp macro="[0]!Sheet3.FDAS" textlink="">
      <xdr:nvSpPr>
        <xdr:cNvPr id="12" name="Isosceles Triangle 11">
          <a:extLst>
            <a:ext uri="{FF2B5EF4-FFF2-40B4-BE49-F238E27FC236}">
              <a16:creationId xmlns:a16="http://schemas.microsoft.com/office/drawing/2014/main" id="{1D2EADA8-46A8-45C1-9924-F1D0A0484EBC}"/>
            </a:ext>
          </a:extLst>
        </xdr:cNvPr>
        <xdr:cNvSpPr>
          <a:spLocks/>
        </xdr:cNvSpPr>
      </xdr:nvSpPr>
      <xdr:spPr>
        <a:xfrm rot="10800000">
          <a:off x="53341" y="7349490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53340</xdr:colOff>
      <xdr:row>158</xdr:row>
      <xdr:rowOff>72390</xdr:rowOff>
    </xdr:from>
    <xdr:to>
      <xdr:col>0</xdr:col>
      <xdr:colOff>190500</xdr:colOff>
      <xdr:row>158</xdr:row>
      <xdr:rowOff>209550</xdr:rowOff>
    </xdr:to>
    <xdr:sp macro="[0]!Sheet3.CABLING" textlink="">
      <xdr:nvSpPr>
        <xdr:cNvPr id="13" name="Isosceles Triangle 12">
          <a:extLst>
            <a:ext uri="{FF2B5EF4-FFF2-40B4-BE49-F238E27FC236}">
              <a16:creationId xmlns:a16="http://schemas.microsoft.com/office/drawing/2014/main" id="{42482DE0-93D4-44BA-8DE1-10E4EB5A91D6}"/>
            </a:ext>
          </a:extLst>
        </xdr:cNvPr>
        <xdr:cNvSpPr>
          <a:spLocks/>
        </xdr:cNvSpPr>
      </xdr:nvSpPr>
      <xdr:spPr>
        <a:xfrm rot="10800000">
          <a:off x="53340" y="7606665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53340</xdr:colOff>
      <xdr:row>169</xdr:row>
      <xdr:rowOff>62865</xdr:rowOff>
    </xdr:from>
    <xdr:to>
      <xdr:col>0</xdr:col>
      <xdr:colOff>190500</xdr:colOff>
      <xdr:row>169</xdr:row>
      <xdr:rowOff>200025</xdr:rowOff>
    </xdr:to>
    <xdr:sp macro="[0]!Sheet3.CCTV" textlink="">
      <xdr:nvSpPr>
        <xdr:cNvPr id="14" name="Isosceles Triangle 13">
          <a:extLst>
            <a:ext uri="{FF2B5EF4-FFF2-40B4-BE49-F238E27FC236}">
              <a16:creationId xmlns:a16="http://schemas.microsoft.com/office/drawing/2014/main" id="{AC4394D5-1799-4FFB-A23C-3A9F78BE256A}"/>
            </a:ext>
          </a:extLst>
        </xdr:cNvPr>
        <xdr:cNvSpPr>
          <a:spLocks/>
        </xdr:cNvSpPr>
      </xdr:nvSpPr>
      <xdr:spPr>
        <a:xfrm rot="10800000">
          <a:off x="53340" y="7844790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53341</xdr:colOff>
      <xdr:row>182</xdr:row>
      <xdr:rowOff>62865</xdr:rowOff>
    </xdr:from>
    <xdr:to>
      <xdr:col>0</xdr:col>
      <xdr:colOff>190501</xdr:colOff>
      <xdr:row>182</xdr:row>
      <xdr:rowOff>200025</xdr:rowOff>
    </xdr:to>
    <xdr:sp macro="[0]!Sheet3.ELECTRICAL" textlink="">
      <xdr:nvSpPr>
        <xdr:cNvPr id="15" name="Isosceles Triangle 14">
          <a:extLst>
            <a:ext uri="{FF2B5EF4-FFF2-40B4-BE49-F238E27FC236}">
              <a16:creationId xmlns:a16="http://schemas.microsoft.com/office/drawing/2014/main" id="{68D965BA-23E8-4471-8836-5A42F1C66B8F}"/>
            </a:ext>
          </a:extLst>
        </xdr:cNvPr>
        <xdr:cNvSpPr>
          <a:spLocks/>
        </xdr:cNvSpPr>
      </xdr:nvSpPr>
      <xdr:spPr>
        <a:xfrm rot="10800000">
          <a:off x="53341" y="8340090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53340</xdr:colOff>
      <xdr:row>65</xdr:row>
      <xdr:rowOff>62865</xdr:rowOff>
    </xdr:from>
    <xdr:to>
      <xdr:col>0</xdr:col>
      <xdr:colOff>190500</xdr:colOff>
      <xdr:row>65</xdr:row>
      <xdr:rowOff>200025</xdr:rowOff>
    </xdr:to>
    <xdr:sp macro="[0]!Sheet3.CHB" textlink="">
      <xdr:nvSpPr>
        <xdr:cNvPr id="16" name="Isosceles Triangle 15">
          <a:extLst>
            <a:ext uri="{FF2B5EF4-FFF2-40B4-BE49-F238E27FC236}">
              <a16:creationId xmlns:a16="http://schemas.microsoft.com/office/drawing/2014/main" id="{B8C561BA-1CA3-402B-8BA0-42CF8D69103C}"/>
            </a:ext>
          </a:extLst>
        </xdr:cNvPr>
        <xdr:cNvSpPr>
          <a:spLocks/>
        </xdr:cNvSpPr>
      </xdr:nvSpPr>
      <xdr:spPr>
        <a:xfrm rot="10800000">
          <a:off x="53340" y="5120640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53340</xdr:colOff>
      <xdr:row>76</xdr:row>
      <xdr:rowOff>72390</xdr:rowOff>
    </xdr:from>
    <xdr:to>
      <xdr:col>0</xdr:col>
      <xdr:colOff>190500</xdr:colOff>
      <xdr:row>76</xdr:row>
      <xdr:rowOff>209550</xdr:rowOff>
    </xdr:to>
    <xdr:sp macro="[0]!Sheet3.PLASTERING" textlink="">
      <xdr:nvSpPr>
        <xdr:cNvPr id="17" name="Isosceles Triangle 16">
          <a:extLst>
            <a:ext uri="{FF2B5EF4-FFF2-40B4-BE49-F238E27FC236}">
              <a16:creationId xmlns:a16="http://schemas.microsoft.com/office/drawing/2014/main" id="{DD45509F-1908-4D6A-9296-87B8FA4714E9}"/>
            </a:ext>
          </a:extLst>
        </xdr:cNvPr>
        <xdr:cNvSpPr>
          <a:spLocks/>
        </xdr:cNvSpPr>
      </xdr:nvSpPr>
      <xdr:spPr>
        <a:xfrm rot="10800000">
          <a:off x="53340" y="5377815"/>
          <a:ext cx="137160" cy="137160"/>
        </a:xfrm>
        <a:prstGeom prst="triangle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0</xdr:col>
      <xdr:colOff>47625</xdr:colOff>
      <xdr:row>15</xdr:row>
      <xdr:rowOff>133350</xdr:rowOff>
    </xdr:from>
    <xdr:to>
      <xdr:col>0</xdr:col>
      <xdr:colOff>184785</xdr:colOff>
      <xdr:row>15</xdr:row>
      <xdr:rowOff>270510</xdr:rowOff>
    </xdr:to>
    <xdr:sp macro="[0]!Sheet3.SHOW" textlink="">
      <xdr:nvSpPr>
        <xdr:cNvPr id="21" name="Isosceles Triangle 20">
          <a:extLst>
            <a:ext uri="{FF2B5EF4-FFF2-40B4-BE49-F238E27FC236}">
              <a16:creationId xmlns:a16="http://schemas.microsoft.com/office/drawing/2014/main" id="{3F42DDF0-3C72-4BF7-AD64-1BA58561A3C4}"/>
            </a:ext>
          </a:extLst>
        </xdr:cNvPr>
        <xdr:cNvSpPr>
          <a:spLocks/>
        </xdr:cNvSpPr>
      </xdr:nvSpPr>
      <xdr:spPr>
        <a:xfrm rot="10800000">
          <a:off x="47625" y="4924425"/>
          <a:ext cx="137160" cy="137160"/>
        </a:xfrm>
        <a:prstGeom prst="triangle">
          <a:avLst/>
        </a:prstGeom>
        <a:solidFill>
          <a:schemeClr val="accent2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</xdr:col>
      <xdr:colOff>9526</xdr:colOff>
      <xdr:row>0</xdr:row>
      <xdr:rowOff>85726</xdr:rowOff>
    </xdr:from>
    <xdr:to>
      <xdr:col>3</xdr:col>
      <xdr:colOff>1676401</xdr:colOff>
      <xdr:row>3</xdr:row>
      <xdr:rowOff>180975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9E82B6F9-1E7C-4C25-AE1B-FFEC7E78D4CC}"/>
            </a:ext>
          </a:extLst>
        </xdr:cNvPr>
        <xdr:cNvGrpSpPr/>
      </xdr:nvGrpSpPr>
      <xdr:grpSpPr>
        <a:xfrm>
          <a:off x="228601" y="85726"/>
          <a:ext cx="3629025" cy="838199"/>
          <a:chOff x="53788" y="445744"/>
          <a:chExt cx="3019750" cy="630301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108DC03B-881E-4555-8AA3-1A53B603B253}"/>
              </a:ext>
            </a:extLst>
          </xdr:cNvPr>
          <xdr:cNvPicPr/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3788" y="454149"/>
            <a:ext cx="724326" cy="621896"/>
          </a:xfrm>
          <a:prstGeom prst="rect">
            <a:avLst/>
          </a:prstGeom>
        </xdr:spPr>
      </xdr:pic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CC1DB5AB-524E-469F-8DF8-261B51CB6578}"/>
              </a:ext>
            </a:extLst>
          </xdr:cNvPr>
          <xdr:cNvGrpSpPr/>
        </xdr:nvGrpSpPr>
        <xdr:grpSpPr>
          <a:xfrm>
            <a:off x="849335" y="445744"/>
            <a:ext cx="2224203" cy="626976"/>
            <a:chOff x="849335" y="445744"/>
            <a:chExt cx="2224203" cy="626976"/>
          </a:xfrm>
        </xdr:grpSpPr>
        <xdr:pic>
          <xdr:nvPicPr>
            <xdr:cNvPr id="27" name="Picture 26">
              <a:extLst>
                <a:ext uri="{FF2B5EF4-FFF2-40B4-BE49-F238E27FC236}">
                  <a16:creationId xmlns:a16="http://schemas.microsoft.com/office/drawing/2014/main" id="{107B488D-4455-47AF-BB7A-6D8AA037EED9}"/>
                </a:ext>
              </a:extLst>
            </xdr:cNvPr>
            <xdr:cNvPicPr/>
          </xdr:nvPicPr>
          <xdr:blipFill>
            <a:blip xmlns:r="http://schemas.openxmlformats.org/officeDocument/2006/relationships" r:embed="rId2" cstate="print"/>
            <a:srcRect b="20457"/>
            <a:stretch>
              <a:fillRect/>
            </a:stretch>
          </xdr:blipFill>
          <xdr:spPr>
            <a:xfrm>
              <a:off x="849335" y="477177"/>
              <a:ext cx="1524001" cy="540327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pic>
          <xdr:nvPicPr>
            <xdr:cNvPr id="28" name="Picture 27">
              <a:extLst>
                <a:ext uri="{FF2B5EF4-FFF2-40B4-BE49-F238E27FC236}">
                  <a16:creationId xmlns:a16="http://schemas.microsoft.com/office/drawing/2014/main" id="{8F72D08B-6F8C-4E17-BBB0-4F8B59BA81A6}"/>
                </a:ext>
              </a:extLst>
            </xdr:cNvPr>
            <xdr:cNvPicPr/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1886" y="445744"/>
              <a:ext cx="631652" cy="626976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4</xdr:col>
      <xdr:colOff>85725</xdr:colOff>
      <xdr:row>0</xdr:row>
      <xdr:rowOff>9525</xdr:rowOff>
    </xdr:from>
    <xdr:to>
      <xdr:col>4</xdr:col>
      <xdr:colOff>1145887</xdr:colOff>
      <xdr:row>1</xdr:row>
      <xdr:rowOff>222539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7E80BAA7-C016-4A84-9390-228926D992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9705" t="9940" r="18363" b="31626"/>
        <a:stretch/>
      </xdr:blipFill>
      <xdr:spPr>
        <a:xfrm>
          <a:off x="4248150" y="9525"/>
          <a:ext cx="1060162" cy="4606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4E28AF8-20AF-467C-B14E-89E6653A7FEE}">
  <we:reference id="wa200005271" version="2.6.0.0" store="en-US" storeType="OMEX"/>
  <we:alternateReferences>
    <we:reference id="WA200005271" version="2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EA72D2-F680-4C3A-AB03-5876C39AC6AB}">
  <we:reference id="wa200006068" version="1.0.4.1" store="en-US" storeType="OMEX"/>
  <we:alternateReferences>
    <we:reference id="WA200006068" version="1.0.4.1" store="" storeType="OMEX"/>
  </we:alternateReferences>
  <we:properties>
    <we:property name="workbook-id" value="&quot;4968fb6c-eb5a-4e87-aa8e-e9f958d2faf4&quot;"/>
    <we:property name="workbook-title" value="&quot;New Microsoft Excel Worksheet.xlsm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_xldudf_ROWSIE_LLM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orms/PM-OPN-02%20Project%20Planning/FM-OPN-02-12%20Rebar%20Works%20Checklist_Rev.%201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34A30-C169-4124-979D-D6190454C2FF}">
  <sheetPr codeName="Sheet3"/>
  <dimension ref="A1:O212"/>
  <sheetViews>
    <sheetView showGridLines="0" tabSelected="1" zoomScaleNormal="100" workbookViewId="0">
      <selection activeCell="I66" sqref="I66:J66"/>
    </sheetView>
  </sheetViews>
  <sheetFormatPr defaultColWidth="9.140625" defaultRowHeight="15" outlineLevelRow="1" x14ac:dyDescent="0.25"/>
  <cols>
    <col min="1" max="1" width="3.28515625" style="30" customWidth="1"/>
    <col min="2" max="2" width="3.5703125" style="31" customWidth="1"/>
    <col min="3" max="3" width="25.85546875" style="14" customWidth="1"/>
    <col min="4" max="4" width="29.7109375" style="14" customWidth="1"/>
    <col min="5" max="5" width="18.85546875" style="14" customWidth="1"/>
    <col min="6" max="6" width="23" style="14" bestFit="1" customWidth="1"/>
    <col min="7" max="7" width="14.85546875" style="14" bestFit="1" customWidth="1"/>
    <col min="8" max="8" width="21.5703125" style="14" bestFit="1" customWidth="1"/>
    <col min="9" max="9" width="16.5703125" style="14" customWidth="1"/>
    <col min="10" max="10" width="18.5703125" style="14" customWidth="1"/>
    <col min="11" max="11" width="6.5703125" style="32" customWidth="1"/>
    <col min="12" max="12" width="6.42578125" style="32" customWidth="1"/>
    <col min="13" max="13" width="6.140625" style="32" customWidth="1"/>
    <col min="14" max="14" width="9.140625" style="14"/>
    <col min="15" max="15" width="7" style="15" customWidth="1"/>
    <col min="16" max="16" width="6.85546875" style="14" customWidth="1"/>
    <col min="17" max="16384" width="9.140625" style="14"/>
  </cols>
  <sheetData>
    <row r="1" spans="1:15" ht="20.100000000000001" customHeight="1" x14ac:dyDescent="0.25">
      <c r="A1" s="191"/>
      <c r="B1" s="192"/>
      <c r="C1" s="192"/>
      <c r="D1" s="193"/>
      <c r="E1" s="200" t="s">
        <v>726</v>
      </c>
      <c r="F1" s="201"/>
      <c r="G1" s="201"/>
      <c r="H1" s="202"/>
      <c r="I1" s="13" t="s">
        <v>714</v>
      </c>
      <c r="J1" s="135">
        <v>44929</v>
      </c>
      <c r="K1" s="185" t="s">
        <v>727</v>
      </c>
      <c r="L1" s="186"/>
      <c r="M1" s="187"/>
    </row>
    <row r="2" spans="1:15" ht="20.100000000000001" customHeight="1" x14ac:dyDescent="0.25">
      <c r="A2" s="194"/>
      <c r="B2" s="195"/>
      <c r="C2" s="195"/>
      <c r="D2" s="196"/>
      <c r="E2" s="203"/>
      <c r="F2" s="204"/>
      <c r="G2" s="204"/>
      <c r="H2" s="205"/>
      <c r="I2" s="16" t="s">
        <v>715</v>
      </c>
      <c r="J2" s="134">
        <v>46054</v>
      </c>
      <c r="K2" s="182" t="s">
        <v>705</v>
      </c>
      <c r="L2" s="183"/>
      <c r="M2" s="184"/>
    </row>
    <row r="3" spans="1:15" s="18" customFormat="1" ht="20.100000000000001" customHeight="1" x14ac:dyDescent="0.25">
      <c r="A3" s="194"/>
      <c r="B3" s="195"/>
      <c r="C3" s="195"/>
      <c r="D3" s="196"/>
      <c r="E3" s="17" t="s">
        <v>707</v>
      </c>
      <c r="F3" s="206" t="s">
        <v>732</v>
      </c>
      <c r="G3" s="206"/>
      <c r="H3" s="207"/>
      <c r="I3" s="16" t="s">
        <v>709</v>
      </c>
      <c r="J3" s="133" t="s">
        <v>742</v>
      </c>
      <c r="K3" s="182" t="s">
        <v>729</v>
      </c>
      <c r="L3" s="183"/>
      <c r="M3" s="184"/>
      <c r="O3" s="19"/>
    </row>
    <row r="4" spans="1:15" s="18" customFormat="1" ht="20.100000000000001" customHeight="1" thickBot="1" x14ac:dyDescent="0.3">
      <c r="A4" s="197"/>
      <c r="B4" s="198"/>
      <c r="C4" s="198"/>
      <c r="D4" s="199"/>
      <c r="E4" s="20" t="s">
        <v>708</v>
      </c>
      <c r="F4" s="208" t="s">
        <v>733</v>
      </c>
      <c r="G4" s="208"/>
      <c r="H4" s="209"/>
      <c r="I4" s="21" t="s">
        <v>710</v>
      </c>
      <c r="J4" s="136">
        <f ca="1">NOW()</f>
        <v>46260.691923611113</v>
      </c>
      <c r="K4" s="188" t="s">
        <v>706</v>
      </c>
      <c r="L4" s="189"/>
      <c r="M4" s="190"/>
      <c r="O4" s="19"/>
    </row>
    <row r="5" spans="1:15" s="18" customFormat="1" ht="21.75" thickBot="1" x14ac:dyDescent="0.4">
      <c r="A5" s="169"/>
      <c r="B5" s="169"/>
      <c r="C5" s="169"/>
      <c r="D5" s="169"/>
      <c r="E5" s="169"/>
      <c r="F5" s="169"/>
      <c r="G5" s="169"/>
      <c r="H5" s="169"/>
      <c r="I5" s="169"/>
      <c r="J5" s="169"/>
      <c r="K5" s="169"/>
      <c r="L5" s="169"/>
      <c r="M5" s="169"/>
      <c r="O5" s="19"/>
    </row>
    <row r="6" spans="1:15" ht="20.100000000000001" customHeight="1" x14ac:dyDescent="0.25">
      <c r="A6" s="172" t="s">
        <v>717</v>
      </c>
      <c r="B6" s="173"/>
      <c r="C6" s="173"/>
      <c r="D6" s="127" t="s">
        <v>738</v>
      </c>
      <c r="E6" s="172" t="s">
        <v>719</v>
      </c>
      <c r="F6" s="173"/>
      <c r="G6" s="178" t="s">
        <v>736</v>
      </c>
      <c r="H6" s="179"/>
      <c r="I6" s="128" t="s">
        <v>724</v>
      </c>
      <c r="J6" s="178" t="s">
        <v>740</v>
      </c>
      <c r="K6" s="178"/>
      <c r="L6" s="178"/>
      <c r="M6" s="179"/>
    </row>
    <row r="7" spans="1:15" ht="20.100000000000001" customHeight="1" x14ac:dyDescent="0.25">
      <c r="A7" s="174" t="s">
        <v>718</v>
      </c>
      <c r="B7" s="175"/>
      <c r="C7" s="175"/>
      <c r="D7" s="129" t="s">
        <v>734</v>
      </c>
      <c r="E7" s="174" t="s">
        <v>720</v>
      </c>
      <c r="F7" s="175"/>
      <c r="G7" s="180" t="s">
        <v>745</v>
      </c>
      <c r="H7" s="181"/>
      <c r="I7" s="130" t="s">
        <v>723</v>
      </c>
      <c r="J7" s="180" t="s">
        <v>739</v>
      </c>
      <c r="K7" s="180"/>
      <c r="L7" s="180"/>
      <c r="M7" s="181"/>
    </row>
    <row r="8" spans="1:15" ht="20.100000000000001" customHeight="1" thickBot="1" x14ac:dyDescent="0.3">
      <c r="A8" s="176" t="s">
        <v>719</v>
      </c>
      <c r="B8" s="177"/>
      <c r="C8" s="177"/>
      <c r="D8" s="131" t="s">
        <v>735</v>
      </c>
      <c r="E8" s="176" t="s">
        <v>721</v>
      </c>
      <c r="F8" s="177"/>
      <c r="G8" s="170" t="s">
        <v>737</v>
      </c>
      <c r="H8" s="171"/>
      <c r="I8" s="132" t="s">
        <v>725</v>
      </c>
      <c r="J8" s="170" t="s">
        <v>741</v>
      </c>
      <c r="K8" s="170"/>
      <c r="L8" s="170"/>
      <c r="M8" s="171"/>
    </row>
    <row r="9" spans="1:15" s="18" customFormat="1" ht="45" hidden="1" outlineLevel="1" x14ac:dyDescent="0.25">
      <c r="A9" s="22"/>
      <c r="B9" s="23"/>
      <c r="C9" s="24" t="s">
        <v>697</v>
      </c>
      <c r="D9" s="25" t="str" cm="1">
        <f t="array" ref="D9">ROW(B19) &amp; ":" &amp; ROW(INDEX(B:B, MATCH(TRUE, ISBLANK(B19:B124), 0) + ROW(B19) - 1))</f>
        <v>19:28</v>
      </c>
      <c r="E9" s="24" t="s">
        <v>620</v>
      </c>
      <c r="F9" s="26" t="str" cm="1">
        <f t="array" ref="F9">ROW(B78) &amp; ":" &amp; ROW(INDEX(B:B, MATCH(TRUE, ISBLANK(B78:B189), 0) + ROW(B78) - 1))</f>
        <v>78:85</v>
      </c>
      <c r="G9" s="24" t="s">
        <v>647</v>
      </c>
      <c r="H9" s="26" t="str" cm="1">
        <f t="array" ref="H9">ROW(B126) &amp; ":" &amp; ROW(INDEX(B:B, MATCH(TRUE, ISBLANK(B126:B235), 0) + ROW(B126) - 1))</f>
        <v>126:134</v>
      </c>
      <c r="I9" s="24" t="s">
        <v>531</v>
      </c>
      <c r="J9" s="26" t="str" cm="1">
        <f t="array" ref="J9">ROW(B184) &amp; ":" &amp; ROW(INDEX(B:B, MATCH(TRUE, ISBLANK(B184:B291), 0) + ROW(B184) - 1))</f>
        <v>184:197</v>
      </c>
      <c r="K9" s="27"/>
      <c r="L9" s="27"/>
      <c r="M9" s="27"/>
      <c r="O9" s="19"/>
    </row>
    <row r="10" spans="1:15" s="18" customFormat="1" ht="30" hidden="1" outlineLevel="1" x14ac:dyDescent="0.25">
      <c r="A10" s="22"/>
      <c r="B10" s="23"/>
      <c r="C10" s="28" t="s">
        <v>589</v>
      </c>
      <c r="D10" s="4" t="str" cm="1">
        <f t="array" ref="D10">ROW(B31) &amp; ":" &amp; ROW(INDEX(B:B, MATCH(TRUE, ISBLANK(B31:B136), 0) + ROW(B31) - 1))</f>
        <v>31:40</v>
      </c>
      <c r="E10" s="28" t="s">
        <v>621</v>
      </c>
      <c r="F10" s="4" t="str" cm="1">
        <f t="array" ref="F10">ROW(B87) &amp; ":" &amp; ROW(INDEX(B:B, MATCH(TRUE, ISBLANK(B87:B199), 0) + ROW(B87) - 1))</f>
        <v>87:96</v>
      </c>
      <c r="G10" s="28" t="s">
        <v>654</v>
      </c>
      <c r="H10" s="4" t="str" cm="1">
        <f t="array" ref="H10">ROW(B136) &amp; ":" &amp; ROW(INDEX(B:B, MATCH(TRUE, ISBLANK(B136:B245), 0) + ROW(B136) - 1))</f>
        <v>136:147</v>
      </c>
      <c r="I10" s="29" t="s">
        <v>704</v>
      </c>
      <c r="J10" s="4" t="str">
        <f>ROW(B17) &amp; ":" &amp; ROW(B192)</f>
        <v>17:192</v>
      </c>
      <c r="K10" s="27"/>
      <c r="L10" s="27"/>
      <c r="M10" s="27"/>
      <c r="O10" s="19"/>
    </row>
    <row r="11" spans="1:15" s="18" customFormat="1" ht="30" hidden="1" customHeight="1" outlineLevel="1" x14ac:dyDescent="0.25">
      <c r="A11" s="22"/>
      <c r="B11" s="23"/>
      <c r="C11" s="28" t="s">
        <v>598</v>
      </c>
      <c r="D11" s="4" t="str" cm="1">
        <f t="array" ref="D11">ROW(B42) &amp; ":" &amp; ROW(INDEX(B:B, MATCH(TRUE, ISBLANK(B42:B151), 0) + ROW(B42) - 1))</f>
        <v>42:51</v>
      </c>
      <c r="E11" s="28" t="s">
        <v>628</v>
      </c>
      <c r="F11" s="4" t="str" cm="1">
        <f t="array" ref="F11">ROW(B98) &amp; ":" &amp; ROW(INDEX(B:B, MATCH(TRUE, ISBLANK(B98:B209), 0) + ROW(B98) - 1))</f>
        <v>98:104</v>
      </c>
      <c r="G11" s="28" t="s">
        <v>698</v>
      </c>
      <c r="H11" s="4" t="str" cm="1">
        <f t="array" ref="H11">ROW(B150) &amp; ":" &amp; ROW(INDEX(B:B, MATCH(TRUE, ISBLANK(B150:B258), 0) + ROW(B150) - 1))</f>
        <v>150:158</v>
      </c>
      <c r="I11" s="3"/>
      <c r="J11" s="3"/>
      <c r="K11" s="27"/>
      <c r="L11" s="27"/>
      <c r="M11" s="27"/>
      <c r="O11" s="19"/>
    </row>
    <row r="12" spans="1:15" s="18" customFormat="1" ht="30" hidden="1" outlineLevel="1" x14ac:dyDescent="0.25">
      <c r="A12" s="22"/>
      <c r="B12" s="23"/>
      <c r="C12" s="28" t="s">
        <v>607</v>
      </c>
      <c r="D12" s="4" t="str" cm="1">
        <f t="array" ref="D12">ROW(B53) &amp; ":" &amp; ROW(INDEX(B:B, MATCH(TRUE, ISBLANK(B53:B162), 0) + ROW(B53) - 1))</f>
        <v>53:63</v>
      </c>
      <c r="E12" s="28" t="s">
        <v>635</v>
      </c>
      <c r="F12" s="4" t="str" cm="1">
        <f t="array" ref="F12">ROW(B107) &amp; ":" &amp; ROW(INDEX(B:B, MATCH(TRUE, ISBLANK(B107:B217), 0) + ROW(B107) - 1))</f>
        <v>107:115</v>
      </c>
      <c r="G12" s="28" t="s">
        <v>671</v>
      </c>
      <c r="H12" s="4" t="str" cm="1">
        <f t="array" ref="H12">ROW(B160) &amp; ":" &amp; ROW(INDEX(B:B, MATCH(TRUE, ISBLANK(B160:B268), 0) + ROW(B160) - 1))</f>
        <v>160:169</v>
      </c>
      <c r="I12" s="3"/>
      <c r="J12" s="3"/>
      <c r="K12" s="27"/>
      <c r="L12" s="27"/>
      <c r="M12" s="27"/>
      <c r="O12" s="19"/>
    </row>
    <row r="13" spans="1:15" s="18" customFormat="1" ht="30" hidden="1" outlineLevel="1" x14ac:dyDescent="0.25">
      <c r="A13" s="22"/>
      <c r="B13" s="23"/>
      <c r="C13" s="28" t="s">
        <v>618</v>
      </c>
      <c r="D13" s="4" t="str" cm="1">
        <f t="array" ref="D13">ROW(B67) &amp; ":" &amp; ROW(INDEX(B:B, MATCH(TRUE, ISBLANK(B67:B177), 0) + ROW(B67) - 1))</f>
        <v>67:76</v>
      </c>
      <c r="E13" s="28" t="s">
        <v>642</v>
      </c>
      <c r="F13" s="4" t="str" cm="1">
        <f t="array" ref="F13">ROW(B117) &amp; ":" &amp; ROW(INDEX(B:B, MATCH(TRUE, ISBLANK(B117:B227), 0) + ROW(B117) - 1))</f>
        <v>117:123</v>
      </c>
      <c r="G13" s="28" t="s">
        <v>678</v>
      </c>
      <c r="H13" s="4" t="str" cm="1">
        <f t="array" ref="H13">ROW(B171) &amp; ":" &amp; ROW(INDEX(B:B, MATCH(TRUE, ISBLANK(B171:B279), 0) + ROW(B171) - 1))</f>
        <v>171:181</v>
      </c>
      <c r="I13" s="3"/>
      <c r="J13" s="3"/>
      <c r="K13" s="27"/>
      <c r="L13" s="27"/>
      <c r="M13" s="27"/>
      <c r="O13" s="19"/>
    </row>
    <row r="14" spans="1:15" ht="20.100000000000001" customHeight="1" collapsed="1" thickBot="1" x14ac:dyDescent="0.3"/>
    <row r="15" spans="1:15" ht="36.75" customHeight="1" thickBot="1" x14ac:dyDescent="0.3">
      <c r="A15" s="166" t="s">
        <v>701</v>
      </c>
      <c r="B15" s="167"/>
      <c r="C15" s="167"/>
      <c r="D15" s="167"/>
      <c r="E15" s="167" t="s">
        <v>702</v>
      </c>
      <c r="F15" s="167"/>
      <c r="G15" s="167"/>
      <c r="H15" s="167" t="s">
        <v>703</v>
      </c>
      <c r="I15" s="167"/>
      <c r="J15" s="168"/>
      <c r="K15" s="163" t="s">
        <v>699</v>
      </c>
      <c r="L15" s="164"/>
      <c r="M15" s="165"/>
    </row>
    <row r="16" spans="1:15" ht="30.75" thickBot="1" x14ac:dyDescent="0.3">
      <c r="A16" s="33"/>
      <c r="B16" s="214" t="s">
        <v>713</v>
      </c>
      <c r="C16" s="215"/>
      <c r="D16" s="107" t="s">
        <v>102</v>
      </c>
      <c r="E16" s="107" t="s">
        <v>2</v>
      </c>
      <c r="F16" s="107" t="s">
        <v>103</v>
      </c>
      <c r="G16" s="107" t="s">
        <v>104</v>
      </c>
      <c r="H16" s="107" t="s">
        <v>3</v>
      </c>
      <c r="I16" s="107" t="s">
        <v>1</v>
      </c>
      <c r="J16" s="108" t="s">
        <v>0</v>
      </c>
      <c r="K16" s="104" t="s">
        <v>105</v>
      </c>
      <c r="L16" s="105" t="s">
        <v>106</v>
      </c>
      <c r="M16" s="106" t="s">
        <v>716</v>
      </c>
    </row>
    <row r="17" spans="1:15" s="1" customFormat="1" ht="20.100000000000001" customHeight="1" x14ac:dyDescent="0.25">
      <c r="A17" s="109" t="s">
        <v>107</v>
      </c>
      <c r="B17" s="110"/>
      <c r="C17" s="111"/>
      <c r="D17" s="216" t="s">
        <v>744</v>
      </c>
      <c r="E17" s="217"/>
      <c r="F17" s="216" t="s">
        <v>712</v>
      </c>
      <c r="G17" s="218"/>
      <c r="H17" s="217"/>
      <c r="I17" s="216" t="s">
        <v>728</v>
      </c>
      <c r="J17" s="218"/>
      <c r="K17" s="218"/>
      <c r="L17" s="218"/>
      <c r="M17" s="219"/>
      <c r="O17" s="5"/>
    </row>
    <row r="18" spans="1:15" s="1" customFormat="1" ht="30" x14ac:dyDescent="0.25">
      <c r="A18" s="112" cm="1">
        <f t="array" ref="A18">IFERROR(MATCH(TRUE,ISBLANK(C19:C124),0)-1, COUNTA(C19:C124))</f>
        <v>9</v>
      </c>
      <c r="B18" s="113" t="s">
        <v>697</v>
      </c>
      <c r="C18" s="114"/>
      <c r="D18" s="145" t="s">
        <v>730</v>
      </c>
      <c r="E18" s="146" t="s">
        <v>731</v>
      </c>
      <c r="F18" s="161" t="s">
        <v>730</v>
      </c>
      <c r="G18" s="162"/>
      <c r="H18" s="146" t="s">
        <v>731</v>
      </c>
      <c r="I18" s="161" t="s">
        <v>730</v>
      </c>
      <c r="J18" s="162"/>
      <c r="K18" s="159" t="s">
        <v>731</v>
      </c>
      <c r="L18" s="159"/>
      <c r="M18" s="160"/>
      <c r="O18" s="2"/>
    </row>
    <row r="19" spans="1:15" ht="45" x14ac:dyDescent="0.25">
      <c r="A19" s="12"/>
      <c r="B19" s="34" t="str" cm="1">
        <f t="array" ref="B19:B27">_xlfn.SEQUENCE(A18)&amp;"."</f>
        <v>1.</v>
      </c>
      <c r="C19" s="35" t="s">
        <v>580</v>
      </c>
      <c r="D19" s="36" t="s">
        <v>108</v>
      </c>
      <c r="E19" s="36" t="s">
        <v>109</v>
      </c>
      <c r="F19" s="36" t="s">
        <v>110</v>
      </c>
      <c r="G19" s="36" t="s">
        <v>111</v>
      </c>
      <c r="H19" s="36" t="s">
        <v>112</v>
      </c>
      <c r="I19" s="37"/>
      <c r="J19" s="36" t="s">
        <v>113</v>
      </c>
      <c r="K19" s="38" t="s">
        <v>271</v>
      </c>
      <c r="L19" s="38" t="s">
        <v>5</v>
      </c>
      <c r="M19" s="39" t="s">
        <v>5</v>
      </c>
    </row>
    <row r="20" spans="1:15" ht="60" x14ac:dyDescent="0.25">
      <c r="A20" s="12"/>
      <c r="B20" s="40" t="str">
        <v>2.</v>
      </c>
      <c r="C20" s="41" t="s">
        <v>581</v>
      </c>
      <c r="D20" s="42" t="s">
        <v>114</v>
      </c>
      <c r="E20" s="42" t="s">
        <v>115</v>
      </c>
      <c r="F20" s="42" t="s">
        <v>116</v>
      </c>
      <c r="G20" s="42" t="s">
        <v>117</v>
      </c>
      <c r="H20" s="42" t="s">
        <v>112</v>
      </c>
      <c r="I20" s="43"/>
      <c r="J20" s="42" t="s">
        <v>118</v>
      </c>
      <c r="K20" s="44" t="s">
        <v>271</v>
      </c>
      <c r="L20" s="44" t="s">
        <v>5</v>
      </c>
      <c r="M20" s="45" t="s">
        <v>5</v>
      </c>
    </row>
    <row r="21" spans="1:15" ht="45" x14ac:dyDescent="0.25">
      <c r="A21" s="12"/>
      <c r="B21" s="40" t="str">
        <v>3.</v>
      </c>
      <c r="C21" s="41" t="s">
        <v>582</v>
      </c>
      <c r="D21" s="42" t="s">
        <v>119</v>
      </c>
      <c r="E21" s="42" t="s">
        <v>120</v>
      </c>
      <c r="F21" s="42" t="s">
        <v>121</v>
      </c>
      <c r="G21" s="42" t="s">
        <v>122</v>
      </c>
      <c r="H21" s="42" t="s">
        <v>112</v>
      </c>
      <c r="I21" s="43"/>
      <c r="J21" s="42" t="s">
        <v>123</v>
      </c>
      <c r="K21" s="44" t="s">
        <v>271</v>
      </c>
      <c r="L21" s="44" t="s">
        <v>5</v>
      </c>
      <c r="M21" s="45" t="s">
        <v>5</v>
      </c>
    </row>
    <row r="22" spans="1:15" ht="45" x14ac:dyDescent="0.25">
      <c r="A22" s="12"/>
      <c r="B22" s="40" t="str">
        <v>4.</v>
      </c>
      <c r="C22" s="41" t="s">
        <v>583</v>
      </c>
      <c r="D22" s="42" t="s">
        <v>124</v>
      </c>
      <c r="E22" s="42" t="s">
        <v>125</v>
      </c>
      <c r="F22" s="42" t="s">
        <v>126</v>
      </c>
      <c r="G22" s="42" t="s">
        <v>127</v>
      </c>
      <c r="H22" s="42" t="s">
        <v>112</v>
      </c>
      <c r="I22" s="43"/>
      <c r="J22" s="42" t="s">
        <v>128</v>
      </c>
      <c r="K22" s="44" t="s">
        <v>271</v>
      </c>
      <c r="L22" s="44" t="s">
        <v>5</v>
      </c>
      <c r="M22" s="45" t="s">
        <v>5</v>
      </c>
    </row>
    <row r="23" spans="1:15" ht="45" x14ac:dyDescent="0.25">
      <c r="A23" s="12"/>
      <c r="B23" s="40" t="str">
        <v>5.</v>
      </c>
      <c r="C23" s="41" t="s">
        <v>584</v>
      </c>
      <c r="D23" s="42" t="s">
        <v>129</v>
      </c>
      <c r="E23" s="42" t="s">
        <v>130</v>
      </c>
      <c r="F23" s="42" t="s">
        <v>131</v>
      </c>
      <c r="G23" s="42" t="s">
        <v>132</v>
      </c>
      <c r="H23" s="42" t="s">
        <v>112</v>
      </c>
      <c r="I23" s="43"/>
      <c r="J23" s="42" t="s">
        <v>133</v>
      </c>
      <c r="K23" s="44" t="s">
        <v>271</v>
      </c>
      <c r="L23" s="44" t="s">
        <v>5</v>
      </c>
      <c r="M23" s="45" t="s">
        <v>5</v>
      </c>
    </row>
    <row r="24" spans="1:15" ht="45" x14ac:dyDescent="0.25">
      <c r="A24" s="12"/>
      <c r="B24" s="40" t="str">
        <v>6.</v>
      </c>
      <c r="C24" s="41" t="s">
        <v>585</v>
      </c>
      <c r="D24" s="42" t="s">
        <v>134</v>
      </c>
      <c r="E24" s="42" t="s">
        <v>135</v>
      </c>
      <c r="F24" s="42" t="s">
        <v>136</v>
      </c>
      <c r="G24" s="42" t="s">
        <v>137</v>
      </c>
      <c r="H24" s="42" t="s">
        <v>112</v>
      </c>
      <c r="I24" s="43"/>
      <c r="J24" s="42" t="s">
        <v>138</v>
      </c>
      <c r="K24" s="44" t="s">
        <v>271</v>
      </c>
      <c r="L24" s="44" t="s">
        <v>275</v>
      </c>
      <c r="M24" s="45" t="s">
        <v>5</v>
      </c>
    </row>
    <row r="25" spans="1:15" ht="45" x14ac:dyDescent="0.25">
      <c r="A25" s="12"/>
      <c r="B25" s="40" t="str">
        <v>7.</v>
      </c>
      <c r="C25" s="41" t="s">
        <v>586</v>
      </c>
      <c r="D25" s="42" t="s">
        <v>139</v>
      </c>
      <c r="E25" s="42" t="s">
        <v>140</v>
      </c>
      <c r="F25" s="42" t="s">
        <v>141</v>
      </c>
      <c r="G25" s="42" t="s">
        <v>142</v>
      </c>
      <c r="H25" s="42" t="s">
        <v>112</v>
      </c>
      <c r="I25" s="43"/>
      <c r="J25" s="42" t="s">
        <v>143</v>
      </c>
      <c r="K25" s="44" t="s">
        <v>271</v>
      </c>
      <c r="L25" s="44" t="s">
        <v>275</v>
      </c>
      <c r="M25" s="45" t="s">
        <v>5</v>
      </c>
    </row>
    <row r="26" spans="1:15" ht="45" x14ac:dyDescent="0.25">
      <c r="A26" s="12"/>
      <c r="B26" s="40" t="str">
        <v>8.</v>
      </c>
      <c r="C26" s="41" t="s">
        <v>587</v>
      </c>
      <c r="D26" s="42" t="s">
        <v>144</v>
      </c>
      <c r="E26" s="42" t="s">
        <v>145</v>
      </c>
      <c r="F26" s="42" t="s">
        <v>146</v>
      </c>
      <c r="G26" s="42" t="s">
        <v>147</v>
      </c>
      <c r="H26" s="42" t="s">
        <v>112</v>
      </c>
      <c r="I26" s="43"/>
      <c r="J26" s="42" t="s">
        <v>148</v>
      </c>
      <c r="K26" s="44" t="s">
        <v>271</v>
      </c>
      <c r="L26" s="44" t="s">
        <v>272</v>
      </c>
      <c r="M26" s="45" t="s">
        <v>5</v>
      </c>
    </row>
    <row r="27" spans="1:15" ht="45" x14ac:dyDescent="0.25">
      <c r="A27" s="12"/>
      <c r="B27" s="40" t="str">
        <v>9.</v>
      </c>
      <c r="C27" s="41" t="s">
        <v>588</v>
      </c>
      <c r="D27" s="42" t="s">
        <v>149</v>
      </c>
      <c r="E27" s="42" t="s">
        <v>150</v>
      </c>
      <c r="F27" s="42" t="s">
        <v>151</v>
      </c>
      <c r="G27" s="42" t="s">
        <v>152</v>
      </c>
      <c r="H27" s="42" t="s">
        <v>112</v>
      </c>
      <c r="I27" s="43"/>
      <c r="J27" s="42" t="s">
        <v>153</v>
      </c>
      <c r="K27" s="44" t="s">
        <v>271</v>
      </c>
      <c r="L27" s="44" t="s">
        <v>5</v>
      </c>
      <c r="M27" s="45" t="s">
        <v>5</v>
      </c>
    </row>
    <row r="28" spans="1:15" ht="20.100000000000001" customHeight="1" thickBot="1" x14ac:dyDescent="0.3">
      <c r="A28" s="12"/>
      <c r="B28" s="46"/>
      <c r="C28" s="47"/>
      <c r="D28" s="48"/>
      <c r="E28" s="48"/>
      <c r="F28" s="48"/>
      <c r="G28" s="48"/>
      <c r="H28" s="49"/>
      <c r="I28" s="48"/>
      <c r="J28" s="48"/>
      <c r="K28" s="50"/>
      <c r="L28" s="50"/>
      <c r="M28" s="51"/>
    </row>
    <row r="29" spans="1:15" s="1" customFormat="1" ht="20.100000000000001" customHeight="1" x14ac:dyDescent="0.25">
      <c r="A29" s="116" t="s">
        <v>154</v>
      </c>
      <c r="B29" s="117"/>
      <c r="C29" s="118"/>
      <c r="D29" s="210" t="s">
        <v>711</v>
      </c>
      <c r="E29" s="212"/>
      <c r="F29" s="210" t="s">
        <v>712</v>
      </c>
      <c r="G29" s="211"/>
      <c r="H29" s="212"/>
      <c r="I29" s="210" t="s">
        <v>722</v>
      </c>
      <c r="J29" s="211"/>
      <c r="K29" s="211"/>
      <c r="L29" s="211"/>
      <c r="M29" s="213"/>
      <c r="O29" s="5"/>
    </row>
    <row r="30" spans="1:15" s="1" customFormat="1" ht="30" x14ac:dyDescent="0.25">
      <c r="A30" s="156" cm="1">
        <f t="array" ref="A30">IFERROR(MATCH(TRUE,ISBLANK(C31:C136),0)-1, COUNTA(C31:C136))</f>
        <v>9</v>
      </c>
      <c r="B30" s="113" t="s">
        <v>589</v>
      </c>
      <c r="C30" s="115"/>
      <c r="D30" s="145" t="s">
        <v>730</v>
      </c>
      <c r="E30" s="146" t="s">
        <v>731</v>
      </c>
      <c r="F30" s="161" t="s">
        <v>730</v>
      </c>
      <c r="G30" s="162"/>
      <c r="H30" s="146" t="s">
        <v>731</v>
      </c>
      <c r="I30" s="161" t="s">
        <v>730</v>
      </c>
      <c r="J30" s="162"/>
      <c r="K30" s="159" t="s">
        <v>731</v>
      </c>
      <c r="L30" s="159"/>
      <c r="M30" s="160"/>
      <c r="O30" s="2"/>
    </row>
    <row r="31" spans="1:15" ht="45" x14ac:dyDescent="0.25">
      <c r="A31" s="10"/>
      <c r="B31" s="34" t="str" cm="1">
        <f t="array" ref="B31:B39">_xlfn.SEQUENCE(A30)&amp;"."</f>
        <v>1.</v>
      </c>
      <c r="C31" s="35" t="s">
        <v>590</v>
      </c>
      <c r="D31" s="36" t="s">
        <v>155</v>
      </c>
      <c r="E31" s="36" t="s">
        <v>156</v>
      </c>
      <c r="F31" s="36" t="s">
        <v>157</v>
      </c>
      <c r="G31" s="36" t="s">
        <v>158</v>
      </c>
      <c r="H31" s="36" t="s">
        <v>159</v>
      </c>
      <c r="I31" s="37"/>
      <c r="J31" s="36" t="s">
        <v>160</v>
      </c>
      <c r="K31" s="38" t="s">
        <v>271</v>
      </c>
      <c r="L31" s="38" t="s">
        <v>275</v>
      </c>
      <c r="M31" s="39" t="s">
        <v>5</v>
      </c>
    </row>
    <row r="32" spans="1:15" ht="45" x14ac:dyDescent="0.25">
      <c r="A32" s="8"/>
      <c r="B32" s="52" t="str">
        <v>2.</v>
      </c>
      <c r="C32" s="53" t="s">
        <v>591</v>
      </c>
      <c r="D32" s="42" t="s">
        <v>161</v>
      </c>
      <c r="E32" s="42" t="s">
        <v>145</v>
      </c>
      <c r="F32" s="42" t="s">
        <v>162</v>
      </c>
      <c r="G32" s="42" t="s">
        <v>127</v>
      </c>
      <c r="H32" s="157" t="s">
        <v>163</v>
      </c>
      <c r="I32" s="43"/>
      <c r="J32" s="42" t="s">
        <v>164</v>
      </c>
      <c r="K32" s="44" t="s">
        <v>271</v>
      </c>
      <c r="L32" s="44" t="s">
        <v>5</v>
      </c>
      <c r="M32" s="45" t="s">
        <v>5</v>
      </c>
    </row>
    <row r="33" spans="1:15" ht="45" x14ac:dyDescent="0.25">
      <c r="A33" s="8"/>
      <c r="B33" s="52" t="str">
        <v>3.</v>
      </c>
      <c r="C33" s="41" t="s">
        <v>592</v>
      </c>
      <c r="D33" s="42" t="s">
        <v>165</v>
      </c>
      <c r="E33" s="42" t="s">
        <v>166</v>
      </c>
      <c r="F33" s="42" t="s">
        <v>167</v>
      </c>
      <c r="G33" s="42" t="s">
        <v>55</v>
      </c>
      <c r="H33" s="42" t="s">
        <v>163</v>
      </c>
      <c r="I33" s="43"/>
      <c r="J33" s="42" t="s">
        <v>168</v>
      </c>
      <c r="K33" s="44" t="s">
        <v>271</v>
      </c>
      <c r="L33" s="44" t="s">
        <v>5</v>
      </c>
      <c r="M33" s="45" t="s">
        <v>5</v>
      </c>
    </row>
    <row r="34" spans="1:15" ht="30" x14ac:dyDescent="0.25">
      <c r="A34" s="8"/>
      <c r="B34" s="52" t="str">
        <v>4.</v>
      </c>
      <c r="C34" s="41" t="s">
        <v>85</v>
      </c>
      <c r="D34" s="42" t="s">
        <v>169</v>
      </c>
      <c r="E34" s="42" t="s">
        <v>145</v>
      </c>
      <c r="F34" s="42" t="s">
        <v>170</v>
      </c>
      <c r="G34" s="42" t="s">
        <v>171</v>
      </c>
      <c r="H34" s="42" t="s">
        <v>163</v>
      </c>
      <c r="I34" s="43"/>
      <c r="J34" s="42" t="s">
        <v>172</v>
      </c>
      <c r="K34" s="44" t="s">
        <v>271</v>
      </c>
      <c r="L34" s="44" t="s">
        <v>5</v>
      </c>
      <c r="M34" s="45" t="s">
        <v>5</v>
      </c>
    </row>
    <row r="35" spans="1:15" ht="45" x14ac:dyDescent="0.25">
      <c r="A35" s="8"/>
      <c r="B35" s="52" t="str">
        <v>5.</v>
      </c>
      <c r="C35" s="41" t="s">
        <v>593</v>
      </c>
      <c r="D35" s="42" t="s">
        <v>173</v>
      </c>
      <c r="E35" s="42" t="s">
        <v>174</v>
      </c>
      <c r="F35" s="42" t="s">
        <v>175</v>
      </c>
      <c r="G35" s="42" t="s">
        <v>176</v>
      </c>
      <c r="H35" s="42" t="s">
        <v>163</v>
      </c>
      <c r="I35" s="43"/>
      <c r="J35" s="42" t="s">
        <v>177</v>
      </c>
      <c r="K35" s="44" t="s">
        <v>271</v>
      </c>
      <c r="L35" s="44" t="s">
        <v>5</v>
      </c>
      <c r="M35" s="45" t="s">
        <v>5</v>
      </c>
    </row>
    <row r="36" spans="1:15" ht="45" x14ac:dyDescent="0.25">
      <c r="A36" s="8"/>
      <c r="B36" s="52" t="str">
        <v>6.</v>
      </c>
      <c r="C36" s="41" t="s">
        <v>594</v>
      </c>
      <c r="D36" s="42" t="s">
        <v>178</v>
      </c>
      <c r="E36" s="42" t="s">
        <v>145</v>
      </c>
      <c r="F36" s="42" t="s">
        <v>179</v>
      </c>
      <c r="G36" s="42" t="s">
        <v>180</v>
      </c>
      <c r="H36" s="42" t="s">
        <v>163</v>
      </c>
      <c r="I36" s="43"/>
      <c r="J36" s="42" t="s">
        <v>181</v>
      </c>
      <c r="K36" s="44" t="s">
        <v>271</v>
      </c>
      <c r="L36" s="44" t="s">
        <v>5</v>
      </c>
      <c r="M36" s="45" t="s">
        <v>5</v>
      </c>
    </row>
    <row r="37" spans="1:15" ht="45" x14ac:dyDescent="0.25">
      <c r="A37" s="8"/>
      <c r="B37" s="52" t="str">
        <v>7.</v>
      </c>
      <c r="C37" s="41" t="s">
        <v>595</v>
      </c>
      <c r="D37" s="42" t="s">
        <v>182</v>
      </c>
      <c r="E37" s="42" t="s">
        <v>183</v>
      </c>
      <c r="F37" s="42" t="s">
        <v>184</v>
      </c>
      <c r="G37" s="42" t="s">
        <v>185</v>
      </c>
      <c r="H37" s="42" t="s">
        <v>163</v>
      </c>
      <c r="I37" s="43"/>
      <c r="J37" s="42" t="s">
        <v>186</v>
      </c>
      <c r="K37" s="44" t="s">
        <v>271</v>
      </c>
      <c r="L37" s="44" t="s">
        <v>5</v>
      </c>
      <c r="M37" s="45" t="s">
        <v>5</v>
      </c>
    </row>
    <row r="38" spans="1:15" ht="45" x14ac:dyDescent="0.25">
      <c r="A38" s="8"/>
      <c r="B38" s="52" t="str">
        <v>8.</v>
      </c>
      <c r="C38" s="41" t="s">
        <v>596</v>
      </c>
      <c r="D38" s="42" t="s">
        <v>187</v>
      </c>
      <c r="E38" s="42" t="s">
        <v>188</v>
      </c>
      <c r="F38" s="42" t="s">
        <v>189</v>
      </c>
      <c r="G38" s="42" t="s">
        <v>190</v>
      </c>
      <c r="H38" s="42" t="s">
        <v>163</v>
      </c>
      <c r="I38" s="43"/>
      <c r="J38" s="42" t="s">
        <v>191</v>
      </c>
      <c r="K38" s="44" t="s">
        <v>271</v>
      </c>
      <c r="L38" s="44" t="s">
        <v>5</v>
      </c>
      <c r="M38" s="45" t="s">
        <v>5</v>
      </c>
    </row>
    <row r="39" spans="1:15" ht="45" x14ac:dyDescent="0.25">
      <c r="A39" s="8"/>
      <c r="B39" s="52" t="str">
        <v>9.</v>
      </c>
      <c r="C39" s="41" t="s">
        <v>597</v>
      </c>
      <c r="D39" s="42" t="s">
        <v>192</v>
      </c>
      <c r="E39" s="42" t="s">
        <v>193</v>
      </c>
      <c r="F39" s="42" t="s">
        <v>194</v>
      </c>
      <c r="G39" s="42" t="s">
        <v>195</v>
      </c>
      <c r="H39" s="42" t="s">
        <v>163</v>
      </c>
      <c r="I39" s="43"/>
      <c r="J39" s="42" t="s">
        <v>196</v>
      </c>
      <c r="K39" s="44" t="s">
        <v>275</v>
      </c>
      <c r="L39" s="44" t="s">
        <v>275</v>
      </c>
      <c r="M39" s="45" t="s">
        <v>275</v>
      </c>
    </row>
    <row r="40" spans="1:15" ht="20.100000000000001" customHeight="1" x14ac:dyDescent="0.25">
      <c r="A40" s="6"/>
      <c r="B40" s="54"/>
      <c r="C40" s="55"/>
      <c r="D40" s="147"/>
      <c r="E40" s="56"/>
      <c r="F40" s="56"/>
      <c r="G40" s="56"/>
      <c r="H40" s="57"/>
      <c r="I40" s="56"/>
      <c r="J40" s="56"/>
      <c r="K40" s="58"/>
      <c r="L40" s="58"/>
      <c r="M40" s="59"/>
      <c r="O40" s="60"/>
    </row>
    <row r="41" spans="1:15" s="1" customFormat="1" ht="30" x14ac:dyDescent="0.25">
      <c r="A41" s="112" cm="1">
        <f t="array" ref="A41">IFERROR(MATCH(TRUE,ISBLANK(C42:C148),0)-1, COUNTA(C42:C148))</f>
        <v>9</v>
      </c>
      <c r="B41" s="113" t="s">
        <v>598</v>
      </c>
      <c r="C41" s="115"/>
      <c r="D41" s="145" t="s">
        <v>730</v>
      </c>
      <c r="E41" s="146" t="s">
        <v>731</v>
      </c>
      <c r="F41" s="161" t="s">
        <v>730</v>
      </c>
      <c r="G41" s="162"/>
      <c r="H41" s="146" t="s">
        <v>731</v>
      </c>
      <c r="I41" s="161" t="s">
        <v>730</v>
      </c>
      <c r="J41" s="162"/>
      <c r="K41" s="159" t="s">
        <v>731</v>
      </c>
      <c r="L41" s="159"/>
      <c r="M41" s="160"/>
      <c r="O41" s="5"/>
    </row>
    <row r="42" spans="1:15" ht="45" x14ac:dyDescent="0.25">
      <c r="A42" s="10"/>
      <c r="B42" s="61" t="str" cm="1">
        <f t="array" ref="B42:B50">_xlfn.SEQUENCE(A41)&amp;"."</f>
        <v>1.</v>
      </c>
      <c r="C42" s="62" t="s">
        <v>590</v>
      </c>
      <c r="D42" s="87" t="s">
        <v>197</v>
      </c>
      <c r="E42" s="87" t="s">
        <v>156</v>
      </c>
      <c r="F42" s="36" t="s">
        <v>198</v>
      </c>
      <c r="G42" s="36" t="s">
        <v>158</v>
      </c>
      <c r="H42" s="37"/>
      <c r="I42" s="37"/>
      <c r="J42" s="36" t="s">
        <v>199</v>
      </c>
      <c r="K42" s="38" t="s">
        <v>271</v>
      </c>
      <c r="L42" s="38" t="s">
        <v>275</v>
      </c>
      <c r="M42" s="39" t="s">
        <v>5</v>
      </c>
    </row>
    <row r="43" spans="1:15" ht="45" x14ac:dyDescent="0.25">
      <c r="A43" s="8"/>
      <c r="B43" s="63" t="str">
        <v>2.</v>
      </c>
      <c r="C43" s="41" t="s">
        <v>599</v>
      </c>
      <c r="D43" s="90" t="s">
        <v>200</v>
      </c>
      <c r="E43" s="90" t="s">
        <v>145</v>
      </c>
      <c r="F43" s="42" t="s">
        <v>201</v>
      </c>
      <c r="G43" s="42" t="s">
        <v>127</v>
      </c>
      <c r="H43" s="43"/>
      <c r="I43" s="43"/>
      <c r="J43" s="42" t="s">
        <v>164</v>
      </c>
      <c r="K43" s="44" t="s">
        <v>271</v>
      </c>
      <c r="L43" s="44" t="s">
        <v>272</v>
      </c>
      <c r="M43" s="45" t="s">
        <v>5</v>
      </c>
    </row>
    <row r="44" spans="1:15" ht="45" x14ac:dyDescent="0.25">
      <c r="A44" s="8"/>
      <c r="B44" s="63" t="str">
        <v>3.</v>
      </c>
      <c r="C44" s="41" t="s">
        <v>600</v>
      </c>
      <c r="D44" s="90" t="s">
        <v>202</v>
      </c>
      <c r="E44" s="90" t="s">
        <v>174</v>
      </c>
      <c r="F44" s="42" t="s">
        <v>203</v>
      </c>
      <c r="G44" s="42" t="s">
        <v>176</v>
      </c>
      <c r="H44" s="43"/>
      <c r="I44" s="43"/>
      <c r="J44" s="42" t="s">
        <v>204</v>
      </c>
      <c r="K44" s="44" t="s">
        <v>271</v>
      </c>
      <c r="L44" s="44" t="s">
        <v>272</v>
      </c>
      <c r="M44" s="45" t="s">
        <v>5</v>
      </c>
    </row>
    <row r="45" spans="1:15" ht="45" x14ac:dyDescent="0.25">
      <c r="A45" s="8"/>
      <c r="B45" s="63" t="str">
        <v>4.</v>
      </c>
      <c r="C45" s="41" t="s">
        <v>601</v>
      </c>
      <c r="D45" s="90" t="s">
        <v>205</v>
      </c>
      <c r="E45" s="90" t="s">
        <v>206</v>
      </c>
      <c r="F45" s="42" t="s">
        <v>207</v>
      </c>
      <c r="G45" s="42" t="s">
        <v>208</v>
      </c>
      <c r="H45" s="43"/>
      <c r="I45" s="43"/>
      <c r="J45" s="42" t="s">
        <v>209</v>
      </c>
      <c r="K45" s="44" t="s">
        <v>271</v>
      </c>
      <c r="L45" s="44" t="s">
        <v>272</v>
      </c>
      <c r="M45" s="45" t="s">
        <v>5</v>
      </c>
    </row>
    <row r="46" spans="1:15" ht="45" x14ac:dyDescent="0.25">
      <c r="A46" s="8"/>
      <c r="B46" s="63" t="str">
        <v>5.</v>
      </c>
      <c r="C46" s="41" t="s">
        <v>602</v>
      </c>
      <c r="D46" s="90" t="s">
        <v>210</v>
      </c>
      <c r="E46" s="90" t="s">
        <v>145</v>
      </c>
      <c r="F46" s="42" t="s">
        <v>211</v>
      </c>
      <c r="G46" s="42" t="s">
        <v>180</v>
      </c>
      <c r="H46" s="43"/>
      <c r="I46" s="43"/>
      <c r="J46" s="42" t="s">
        <v>212</v>
      </c>
      <c r="K46" s="44" t="s">
        <v>271</v>
      </c>
      <c r="L46" s="44" t="s">
        <v>272</v>
      </c>
      <c r="M46" s="45" t="s">
        <v>5</v>
      </c>
    </row>
    <row r="47" spans="1:15" ht="45" x14ac:dyDescent="0.25">
      <c r="A47" s="8"/>
      <c r="B47" s="63" t="str">
        <v>6.</v>
      </c>
      <c r="C47" s="41" t="s">
        <v>603</v>
      </c>
      <c r="D47" s="90" t="s">
        <v>213</v>
      </c>
      <c r="E47" s="90" t="s">
        <v>145</v>
      </c>
      <c r="F47" s="42" t="s">
        <v>214</v>
      </c>
      <c r="G47" s="42" t="s">
        <v>215</v>
      </c>
      <c r="H47" s="43"/>
      <c r="I47" s="43"/>
      <c r="J47" s="42" t="s">
        <v>216</v>
      </c>
      <c r="K47" s="44" t="s">
        <v>271</v>
      </c>
      <c r="L47" s="44" t="s">
        <v>272</v>
      </c>
      <c r="M47" s="45" t="s">
        <v>5</v>
      </c>
    </row>
    <row r="48" spans="1:15" ht="45" x14ac:dyDescent="0.25">
      <c r="A48" s="8"/>
      <c r="B48" s="63" t="str">
        <v>7.</v>
      </c>
      <c r="C48" s="41" t="s">
        <v>604</v>
      </c>
      <c r="D48" s="90" t="s">
        <v>217</v>
      </c>
      <c r="E48" s="90" t="s">
        <v>193</v>
      </c>
      <c r="F48" s="42" t="s">
        <v>194</v>
      </c>
      <c r="G48" s="42" t="s">
        <v>195</v>
      </c>
      <c r="H48" s="42" t="s">
        <v>196</v>
      </c>
      <c r="I48" s="43"/>
      <c r="J48" s="43"/>
      <c r="K48" s="44" t="s">
        <v>271</v>
      </c>
      <c r="L48" s="44" t="s">
        <v>275</v>
      </c>
      <c r="M48" s="45" t="s">
        <v>5</v>
      </c>
    </row>
    <row r="49" spans="1:15" ht="60" x14ac:dyDescent="0.25">
      <c r="A49" s="8"/>
      <c r="B49" s="63" t="str">
        <v>8.</v>
      </c>
      <c r="C49" s="41" t="s">
        <v>605</v>
      </c>
      <c r="D49" s="90" t="s">
        <v>218</v>
      </c>
      <c r="E49" s="90" t="s">
        <v>219</v>
      </c>
      <c r="F49" s="42" t="s">
        <v>220</v>
      </c>
      <c r="G49" s="42" t="s">
        <v>221</v>
      </c>
      <c r="H49" s="43"/>
      <c r="I49" s="43"/>
      <c r="J49" s="42" t="s">
        <v>222</v>
      </c>
      <c r="K49" s="44" t="s">
        <v>271</v>
      </c>
      <c r="L49" s="44" t="s">
        <v>272</v>
      </c>
      <c r="M49" s="45" t="s">
        <v>5</v>
      </c>
    </row>
    <row r="50" spans="1:15" ht="45" x14ac:dyDescent="0.25">
      <c r="A50" s="8"/>
      <c r="B50" s="63" t="str">
        <v>9.</v>
      </c>
      <c r="C50" s="41" t="s">
        <v>606</v>
      </c>
      <c r="D50" s="90" t="s">
        <v>223</v>
      </c>
      <c r="E50" s="90" t="s">
        <v>145</v>
      </c>
      <c r="F50" s="42" t="s">
        <v>224</v>
      </c>
      <c r="G50" s="42" t="s">
        <v>221</v>
      </c>
      <c r="H50" s="42" t="s">
        <v>225</v>
      </c>
      <c r="I50" s="43"/>
      <c r="J50" s="42" t="s">
        <v>226</v>
      </c>
      <c r="K50" s="44" t="s">
        <v>271</v>
      </c>
      <c r="L50" s="44" t="s">
        <v>275</v>
      </c>
      <c r="M50" s="45" t="s">
        <v>5</v>
      </c>
    </row>
    <row r="51" spans="1:15" x14ac:dyDescent="0.25">
      <c r="A51" s="9"/>
      <c r="B51" s="64"/>
      <c r="C51" s="65"/>
      <c r="D51" s="92"/>
      <c r="E51" s="92"/>
      <c r="F51" s="66"/>
      <c r="G51" s="66"/>
      <c r="H51" s="67"/>
      <c r="I51" s="66"/>
      <c r="J51" s="66"/>
      <c r="K51" s="68"/>
      <c r="L51" s="68"/>
      <c r="M51" s="69"/>
    </row>
    <row r="52" spans="1:15" customFormat="1" ht="30" x14ac:dyDescent="0.25">
      <c r="A52" s="126" cm="1">
        <f t="array" ref="A52">IFERROR(MATCH(TRUE,ISBLANK(C53:C160),0)-1, COUNTA(C53:C160))</f>
        <v>10</v>
      </c>
      <c r="B52" s="113" t="s">
        <v>607</v>
      </c>
      <c r="C52" s="113"/>
      <c r="D52" s="145" t="s">
        <v>730</v>
      </c>
      <c r="E52" s="146" t="s">
        <v>731</v>
      </c>
      <c r="F52" s="161" t="s">
        <v>730</v>
      </c>
      <c r="G52" s="162"/>
      <c r="H52" s="146" t="s">
        <v>731</v>
      </c>
      <c r="I52" s="161" t="s">
        <v>730</v>
      </c>
      <c r="J52" s="162"/>
      <c r="K52" s="159" t="s">
        <v>731</v>
      </c>
      <c r="L52" s="159"/>
      <c r="M52" s="160"/>
      <c r="O52" s="5"/>
    </row>
    <row r="53" spans="1:15" ht="45" x14ac:dyDescent="0.25">
      <c r="A53" s="10"/>
      <c r="B53" s="34" t="str" cm="1">
        <f t="array" ref="B53:B62">_xlfn.SEQUENCE(A52)&amp;"."</f>
        <v>1.</v>
      </c>
      <c r="C53" s="35" t="s">
        <v>590</v>
      </c>
      <c r="D53" s="36" t="s">
        <v>227</v>
      </c>
      <c r="E53" s="36" t="s">
        <v>156</v>
      </c>
      <c r="F53" s="36" t="s">
        <v>228</v>
      </c>
      <c r="G53" s="36" t="s">
        <v>158</v>
      </c>
      <c r="H53" s="37"/>
      <c r="I53" s="37"/>
      <c r="J53" s="36" t="s">
        <v>199</v>
      </c>
      <c r="K53" s="38" t="s">
        <v>271</v>
      </c>
      <c r="L53" s="38" t="s">
        <v>275</v>
      </c>
      <c r="M53" s="39" t="s">
        <v>5</v>
      </c>
    </row>
    <row r="54" spans="1:15" ht="45" x14ac:dyDescent="0.25">
      <c r="A54" s="8"/>
      <c r="B54" s="63" t="str">
        <v>2.</v>
      </c>
      <c r="C54" s="41" t="s">
        <v>608</v>
      </c>
      <c r="D54" s="42" t="s">
        <v>229</v>
      </c>
      <c r="E54" s="42" t="s">
        <v>230</v>
      </c>
      <c r="F54" s="42" t="s">
        <v>231</v>
      </c>
      <c r="G54" s="42" t="s">
        <v>232</v>
      </c>
      <c r="H54" s="43"/>
      <c r="I54" s="43"/>
      <c r="J54" s="42" t="s">
        <v>233</v>
      </c>
      <c r="K54" s="44" t="s">
        <v>271</v>
      </c>
      <c r="L54" s="44" t="s">
        <v>275</v>
      </c>
      <c r="M54" s="45" t="s">
        <v>5</v>
      </c>
    </row>
    <row r="55" spans="1:15" ht="45" x14ac:dyDescent="0.25">
      <c r="A55" s="8"/>
      <c r="B55" s="63" t="str">
        <v>3.</v>
      </c>
      <c r="C55" s="41" t="s">
        <v>609</v>
      </c>
      <c r="D55" s="42" t="s">
        <v>234</v>
      </c>
      <c r="E55" s="42" t="s">
        <v>235</v>
      </c>
      <c r="F55" s="42" t="s">
        <v>236</v>
      </c>
      <c r="G55" s="42" t="s">
        <v>55</v>
      </c>
      <c r="H55" s="43"/>
      <c r="I55" s="43"/>
      <c r="J55" s="42" t="s">
        <v>237</v>
      </c>
      <c r="K55" s="44" t="s">
        <v>275</v>
      </c>
      <c r="L55" s="44" t="s">
        <v>275</v>
      </c>
      <c r="M55" s="45" t="s">
        <v>5</v>
      </c>
    </row>
    <row r="56" spans="1:15" ht="45" x14ac:dyDescent="0.25">
      <c r="A56" s="8"/>
      <c r="B56" s="63" t="str">
        <v>4.</v>
      </c>
      <c r="C56" s="41" t="s">
        <v>610</v>
      </c>
      <c r="D56" s="42" t="s">
        <v>238</v>
      </c>
      <c r="E56" s="42" t="s">
        <v>239</v>
      </c>
      <c r="F56" s="42" t="s">
        <v>240</v>
      </c>
      <c r="G56" s="42" t="s">
        <v>55</v>
      </c>
      <c r="H56" s="43"/>
      <c r="I56" s="43"/>
      <c r="J56" s="42" t="s">
        <v>241</v>
      </c>
      <c r="K56" s="44" t="s">
        <v>275</v>
      </c>
      <c r="L56" s="44" t="s">
        <v>275</v>
      </c>
      <c r="M56" s="45" t="s">
        <v>5</v>
      </c>
    </row>
    <row r="57" spans="1:15" ht="60" x14ac:dyDescent="0.25">
      <c r="A57" s="8"/>
      <c r="B57" s="63" t="str">
        <v>5.</v>
      </c>
      <c r="C57" s="41" t="s">
        <v>611</v>
      </c>
      <c r="D57" s="42" t="s">
        <v>242</v>
      </c>
      <c r="E57" s="42" t="s">
        <v>243</v>
      </c>
      <c r="F57" s="42" t="s">
        <v>244</v>
      </c>
      <c r="G57" s="42" t="s">
        <v>245</v>
      </c>
      <c r="H57" s="43"/>
      <c r="I57" s="43"/>
      <c r="J57" s="42" t="s">
        <v>246</v>
      </c>
      <c r="K57" s="44" t="s">
        <v>271</v>
      </c>
      <c r="L57" s="44" t="s">
        <v>272</v>
      </c>
      <c r="M57" s="45" t="s">
        <v>5</v>
      </c>
    </row>
    <row r="58" spans="1:15" ht="45" x14ac:dyDescent="0.25">
      <c r="A58" s="8"/>
      <c r="B58" s="63" t="str">
        <v>6.</v>
      </c>
      <c r="C58" s="41" t="s">
        <v>612</v>
      </c>
      <c r="D58" s="42" t="s">
        <v>247</v>
      </c>
      <c r="E58" s="42" t="s">
        <v>248</v>
      </c>
      <c r="F58" s="42" t="s">
        <v>249</v>
      </c>
      <c r="G58" s="42" t="s">
        <v>55</v>
      </c>
      <c r="H58" s="43"/>
      <c r="I58" s="43"/>
      <c r="J58" s="42" t="s">
        <v>250</v>
      </c>
      <c r="K58" s="44" t="s">
        <v>271</v>
      </c>
      <c r="L58" s="44" t="s">
        <v>275</v>
      </c>
      <c r="M58" s="45" t="s">
        <v>5</v>
      </c>
    </row>
    <row r="59" spans="1:15" ht="45" x14ac:dyDescent="0.25">
      <c r="A59" s="8"/>
      <c r="B59" s="63" t="str">
        <v>7.</v>
      </c>
      <c r="C59" s="41" t="s">
        <v>613</v>
      </c>
      <c r="D59" s="42" t="s">
        <v>251</v>
      </c>
      <c r="E59" s="42" t="s">
        <v>252</v>
      </c>
      <c r="F59" s="42" t="s">
        <v>253</v>
      </c>
      <c r="G59" s="42" t="s">
        <v>254</v>
      </c>
      <c r="H59" s="43"/>
      <c r="I59" s="43"/>
      <c r="J59" s="42" t="s">
        <v>255</v>
      </c>
      <c r="K59" s="44" t="s">
        <v>275</v>
      </c>
      <c r="L59" s="44" t="s">
        <v>275</v>
      </c>
      <c r="M59" s="45" t="s">
        <v>275</v>
      </c>
    </row>
    <row r="60" spans="1:15" ht="45" x14ac:dyDescent="0.25">
      <c r="A60" s="8"/>
      <c r="B60" s="63" t="str">
        <v>8.</v>
      </c>
      <c r="C60" s="41" t="s">
        <v>614</v>
      </c>
      <c r="D60" s="42" t="s">
        <v>256</v>
      </c>
      <c r="E60" s="42" t="s">
        <v>145</v>
      </c>
      <c r="F60" s="42" t="s">
        <v>257</v>
      </c>
      <c r="G60" s="42" t="s">
        <v>258</v>
      </c>
      <c r="H60" s="43"/>
      <c r="I60" s="43"/>
      <c r="J60" s="42" t="s">
        <v>259</v>
      </c>
      <c r="K60" s="44" t="s">
        <v>271</v>
      </c>
      <c r="L60" s="44" t="s">
        <v>5</v>
      </c>
      <c r="M60" s="45" t="s">
        <v>5</v>
      </c>
    </row>
    <row r="61" spans="1:15" ht="45" x14ac:dyDescent="0.25">
      <c r="A61" s="8"/>
      <c r="B61" s="63" t="str">
        <v>9.</v>
      </c>
      <c r="C61" s="41" t="s">
        <v>615</v>
      </c>
      <c r="D61" s="42" t="s">
        <v>260</v>
      </c>
      <c r="E61" s="42" t="s">
        <v>235</v>
      </c>
      <c r="F61" s="42" t="s">
        <v>261</v>
      </c>
      <c r="G61" s="42" t="s">
        <v>262</v>
      </c>
      <c r="H61" s="43"/>
      <c r="I61" s="43"/>
      <c r="J61" s="42" t="s">
        <v>263</v>
      </c>
      <c r="K61" s="44" t="s">
        <v>271</v>
      </c>
      <c r="L61" s="44" t="s">
        <v>5</v>
      </c>
      <c r="M61" s="45" t="s">
        <v>5</v>
      </c>
    </row>
    <row r="62" spans="1:15" ht="60" x14ac:dyDescent="0.25">
      <c r="A62" s="8"/>
      <c r="B62" s="63" t="str">
        <v>10.</v>
      </c>
      <c r="C62" s="41" t="s">
        <v>616</v>
      </c>
      <c r="D62" s="42" t="s">
        <v>264</v>
      </c>
      <c r="E62" s="42" t="s">
        <v>265</v>
      </c>
      <c r="F62" s="42" t="s">
        <v>266</v>
      </c>
      <c r="G62" s="42" t="s">
        <v>267</v>
      </c>
      <c r="H62" s="43"/>
      <c r="I62" s="43"/>
      <c r="J62" s="42" t="s">
        <v>268</v>
      </c>
      <c r="K62" s="44" t="s">
        <v>275</v>
      </c>
      <c r="L62" s="44" t="s">
        <v>275</v>
      </c>
      <c r="M62" s="45" t="s">
        <v>275</v>
      </c>
    </row>
    <row r="63" spans="1:15" ht="15.75" thickBot="1" x14ac:dyDescent="0.3">
      <c r="A63" s="7"/>
      <c r="B63" s="70"/>
      <c r="C63" s="47"/>
      <c r="D63" s="48"/>
      <c r="E63" s="48"/>
      <c r="F63" s="48"/>
      <c r="G63" s="48"/>
      <c r="H63" s="49"/>
      <c r="I63" s="48"/>
      <c r="J63" s="48"/>
      <c r="K63" s="50"/>
      <c r="L63" s="50"/>
      <c r="M63" s="51"/>
    </row>
    <row r="64" spans="1:15" s="1" customFormat="1" ht="20.100000000000001" customHeight="1" x14ac:dyDescent="0.25">
      <c r="A64" s="116" t="s">
        <v>269</v>
      </c>
      <c r="B64" s="119"/>
      <c r="C64" s="118"/>
      <c r="D64" s="210" t="s">
        <v>711</v>
      </c>
      <c r="E64" s="212"/>
      <c r="F64" s="210" t="s">
        <v>712</v>
      </c>
      <c r="G64" s="211"/>
      <c r="H64" s="212"/>
      <c r="I64" s="210" t="s">
        <v>722</v>
      </c>
      <c r="J64" s="211"/>
      <c r="K64" s="211"/>
      <c r="L64" s="211"/>
      <c r="M64" s="213"/>
      <c r="O64" s="2"/>
    </row>
    <row r="65" spans="1:15" s="1" customFormat="1" ht="30" x14ac:dyDescent="0.25">
      <c r="A65" s="112"/>
      <c r="B65" s="113" t="s">
        <v>617</v>
      </c>
      <c r="C65" s="115"/>
      <c r="D65" s="145" t="s">
        <v>730</v>
      </c>
      <c r="E65" s="146" t="s">
        <v>731</v>
      </c>
      <c r="F65" s="161" t="s">
        <v>730</v>
      </c>
      <c r="G65" s="162"/>
      <c r="H65" s="146" t="s">
        <v>731</v>
      </c>
      <c r="I65" s="161" t="s">
        <v>730</v>
      </c>
      <c r="J65" s="162"/>
      <c r="K65" s="159" t="s">
        <v>731</v>
      </c>
      <c r="L65" s="159"/>
      <c r="M65" s="160"/>
      <c r="O65" s="5"/>
    </row>
    <row r="66" spans="1:15" s="1" customFormat="1" ht="30" x14ac:dyDescent="0.25">
      <c r="A66" s="112" cm="1">
        <f t="array" ref="A66">IFERROR(MATCH(TRUE,ISBLANK(C67:C175),0)-1, COUNTA(C67:C175))</f>
        <v>9</v>
      </c>
      <c r="B66" s="113" t="s">
        <v>618</v>
      </c>
      <c r="C66" s="115"/>
      <c r="D66" s="145" t="s">
        <v>730</v>
      </c>
      <c r="E66" s="146" t="s">
        <v>731</v>
      </c>
      <c r="F66" s="161" t="s">
        <v>730</v>
      </c>
      <c r="G66" s="162"/>
      <c r="H66" s="146" t="s">
        <v>731</v>
      </c>
      <c r="I66" s="161" t="s">
        <v>730</v>
      </c>
      <c r="J66" s="162"/>
      <c r="K66" s="159" t="s">
        <v>731</v>
      </c>
      <c r="L66" s="159"/>
      <c r="M66" s="160"/>
      <c r="O66" s="5"/>
    </row>
    <row r="67" spans="1:15" ht="30" x14ac:dyDescent="0.25">
      <c r="A67" s="11"/>
      <c r="B67" s="71" t="str" cm="1">
        <f t="array" ref="B67:B75">_xlfn.SEQUENCE(A66)&amp;"."</f>
        <v>1.</v>
      </c>
      <c r="C67" s="72" t="s">
        <v>45</v>
      </c>
      <c r="D67" s="73" t="s">
        <v>46</v>
      </c>
      <c r="E67" s="74" t="s">
        <v>47</v>
      </c>
      <c r="F67" s="75" t="s">
        <v>48</v>
      </c>
      <c r="G67" s="73" t="s">
        <v>49</v>
      </c>
      <c r="H67" s="74" t="s">
        <v>270</v>
      </c>
      <c r="I67" s="76"/>
      <c r="J67" s="73" t="s">
        <v>50</v>
      </c>
      <c r="K67" s="77" t="s">
        <v>271</v>
      </c>
      <c r="L67" s="77" t="s">
        <v>272</v>
      </c>
      <c r="M67" s="78" t="s">
        <v>5</v>
      </c>
    </row>
    <row r="68" spans="1:15" ht="30" x14ac:dyDescent="0.25">
      <c r="A68" s="8"/>
      <c r="B68" s="63" t="str">
        <v>2.</v>
      </c>
      <c r="C68" s="41" t="s">
        <v>51</v>
      </c>
      <c r="D68" s="79" t="s">
        <v>52</v>
      </c>
      <c r="E68" s="42" t="s">
        <v>53</v>
      </c>
      <c r="F68" s="80" t="s">
        <v>54</v>
      </c>
      <c r="G68" s="79" t="s">
        <v>55</v>
      </c>
      <c r="H68" s="42" t="s">
        <v>273</v>
      </c>
      <c r="I68" s="42" t="s">
        <v>4</v>
      </c>
      <c r="J68" s="79" t="s">
        <v>28</v>
      </c>
      <c r="K68" s="81" t="s">
        <v>271</v>
      </c>
      <c r="L68" s="81" t="s">
        <v>272</v>
      </c>
      <c r="M68" s="82" t="s">
        <v>5</v>
      </c>
    </row>
    <row r="69" spans="1:15" ht="30" x14ac:dyDescent="0.25">
      <c r="A69" s="8"/>
      <c r="B69" s="63" t="str">
        <v>3.</v>
      </c>
      <c r="C69" s="41" t="s">
        <v>56</v>
      </c>
      <c r="D69" s="79" t="s">
        <v>57</v>
      </c>
      <c r="E69" s="42" t="s">
        <v>58</v>
      </c>
      <c r="F69" s="80" t="s">
        <v>274</v>
      </c>
      <c r="G69" s="79" t="s">
        <v>59</v>
      </c>
      <c r="H69" s="42" t="s">
        <v>273</v>
      </c>
      <c r="I69" s="42" t="s">
        <v>4</v>
      </c>
      <c r="J69" s="79" t="s">
        <v>60</v>
      </c>
      <c r="K69" s="81" t="s">
        <v>271</v>
      </c>
      <c r="L69" s="81" t="s">
        <v>272</v>
      </c>
      <c r="M69" s="82" t="s">
        <v>5</v>
      </c>
    </row>
    <row r="70" spans="1:15" ht="45" x14ac:dyDescent="0.25">
      <c r="A70" s="8"/>
      <c r="B70" s="63" t="str">
        <v>4.</v>
      </c>
      <c r="C70" s="41" t="s">
        <v>61</v>
      </c>
      <c r="D70" s="79" t="s">
        <v>62</v>
      </c>
      <c r="E70" s="42" t="s">
        <v>63</v>
      </c>
      <c r="F70" s="80" t="s">
        <v>64</v>
      </c>
      <c r="G70" s="79" t="s">
        <v>59</v>
      </c>
      <c r="H70" s="42" t="s">
        <v>273</v>
      </c>
      <c r="I70" s="42" t="s">
        <v>4</v>
      </c>
      <c r="J70" s="79" t="s">
        <v>28</v>
      </c>
      <c r="K70" s="81" t="s">
        <v>271</v>
      </c>
      <c r="L70" s="81" t="s">
        <v>275</v>
      </c>
      <c r="M70" s="82" t="s">
        <v>5</v>
      </c>
    </row>
    <row r="71" spans="1:15" ht="45" x14ac:dyDescent="0.25">
      <c r="A71" s="8"/>
      <c r="B71" s="63" t="str">
        <v>5.</v>
      </c>
      <c r="C71" s="41" t="s">
        <v>619</v>
      </c>
      <c r="D71" s="79" t="s">
        <v>65</v>
      </c>
      <c r="E71" s="42" t="s">
        <v>66</v>
      </c>
      <c r="F71" s="80" t="s">
        <v>59</v>
      </c>
      <c r="G71" s="79" t="s">
        <v>59</v>
      </c>
      <c r="H71" s="42" t="s">
        <v>273</v>
      </c>
      <c r="I71" s="42" t="s">
        <v>4</v>
      </c>
      <c r="J71" s="79" t="s">
        <v>67</v>
      </c>
      <c r="K71" s="81" t="s">
        <v>271</v>
      </c>
      <c r="L71" s="81" t="s">
        <v>272</v>
      </c>
      <c r="M71" s="82" t="s">
        <v>5</v>
      </c>
    </row>
    <row r="72" spans="1:15" ht="30" x14ac:dyDescent="0.25">
      <c r="A72" s="8"/>
      <c r="B72" s="63" t="str">
        <v>6.</v>
      </c>
      <c r="C72" s="41" t="s">
        <v>68</v>
      </c>
      <c r="D72" s="79" t="s">
        <v>69</v>
      </c>
      <c r="E72" s="42" t="s">
        <v>70</v>
      </c>
      <c r="F72" s="80" t="s">
        <v>71</v>
      </c>
      <c r="G72" s="79" t="s">
        <v>59</v>
      </c>
      <c r="H72" s="42" t="s">
        <v>273</v>
      </c>
      <c r="I72" s="42" t="s">
        <v>4</v>
      </c>
      <c r="J72" s="79" t="s">
        <v>28</v>
      </c>
      <c r="K72" s="81" t="s">
        <v>271</v>
      </c>
      <c r="L72" s="81" t="s">
        <v>272</v>
      </c>
      <c r="M72" s="82" t="s">
        <v>5</v>
      </c>
    </row>
    <row r="73" spans="1:15" ht="30" x14ac:dyDescent="0.25">
      <c r="A73" s="8"/>
      <c r="B73" s="63" t="str">
        <v>7.</v>
      </c>
      <c r="C73" s="41" t="s">
        <v>72</v>
      </c>
      <c r="D73" s="79" t="s">
        <v>73</v>
      </c>
      <c r="E73" s="42" t="s">
        <v>74</v>
      </c>
      <c r="F73" s="80" t="s">
        <v>75</v>
      </c>
      <c r="G73" s="79" t="s">
        <v>59</v>
      </c>
      <c r="H73" s="42" t="s">
        <v>273</v>
      </c>
      <c r="I73" s="42" t="s">
        <v>4</v>
      </c>
      <c r="J73" s="79" t="s">
        <v>76</v>
      </c>
      <c r="K73" s="81" t="s">
        <v>271</v>
      </c>
      <c r="L73" s="81" t="s">
        <v>272</v>
      </c>
      <c r="M73" s="82" t="s">
        <v>5</v>
      </c>
    </row>
    <row r="74" spans="1:15" ht="45" x14ac:dyDescent="0.25">
      <c r="A74" s="8"/>
      <c r="B74" s="63" t="str">
        <v>8.</v>
      </c>
      <c r="C74" s="41" t="s">
        <v>77</v>
      </c>
      <c r="D74" s="79" t="s">
        <v>78</v>
      </c>
      <c r="E74" s="42" t="s">
        <v>79</v>
      </c>
      <c r="F74" s="83">
        <v>1</v>
      </c>
      <c r="G74" s="79" t="s">
        <v>59</v>
      </c>
      <c r="H74" s="42" t="s">
        <v>273</v>
      </c>
      <c r="I74" s="42" t="s">
        <v>4</v>
      </c>
      <c r="J74" s="79" t="s">
        <v>80</v>
      </c>
      <c r="K74" s="81" t="s">
        <v>271</v>
      </c>
      <c r="L74" s="81" t="s">
        <v>275</v>
      </c>
      <c r="M74" s="82" t="s">
        <v>5</v>
      </c>
    </row>
    <row r="75" spans="1:15" ht="45" x14ac:dyDescent="0.25">
      <c r="A75" s="8"/>
      <c r="B75" s="63" t="str">
        <v>9.</v>
      </c>
      <c r="C75" s="41" t="s">
        <v>81</v>
      </c>
      <c r="D75" s="79" t="s">
        <v>82</v>
      </c>
      <c r="E75" s="42" t="s">
        <v>83</v>
      </c>
      <c r="F75" s="42" t="s">
        <v>43</v>
      </c>
      <c r="G75" s="79" t="s">
        <v>276</v>
      </c>
      <c r="H75" s="42" t="s">
        <v>273</v>
      </c>
      <c r="I75" s="42" t="s">
        <v>4</v>
      </c>
      <c r="J75" s="79" t="s">
        <v>84</v>
      </c>
      <c r="K75" s="81" t="s">
        <v>271</v>
      </c>
      <c r="L75" s="81" t="s">
        <v>275</v>
      </c>
      <c r="M75" s="82" t="s">
        <v>5</v>
      </c>
    </row>
    <row r="76" spans="1:15" x14ac:dyDescent="0.25">
      <c r="A76" s="6"/>
      <c r="B76" s="84"/>
      <c r="C76" s="55"/>
      <c r="D76" s="56"/>
      <c r="E76" s="56"/>
      <c r="F76" s="56"/>
      <c r="G76" s="56"/>
      <c r="H76" s="57"/>
      <c r="I76" s="56"/>
      <c r="J76" s="56"/>
      <c r="K76" s="85"/>
      <c r="L76" s="85"/>
      <c r="M76" s="86"/>
    </row>
    <row r="77" spans="1:15" s="1" customFormat="1" ht="30" x14ac:dyDescent="0.25">
      <c r="A77" s="112" cm="1">
        <f t="array" ref="A77">IFERROR(MATCH(TRUE,ISBLANK(C78:C188),0)-1, COUNTA(C78:C188))</f>
        <v>7</v>
      </c>
      <c r="B77" s="113" t="s">
        <v>620</v>
      </c>
      <c r="C77" s="115"/>
      <c r="D77" s="145" t="s">
        <v>730</v>
      </c>
      <c r="E77" s="146" t="s">
        <v>731</v>
      </c>
      <c r="F77" s="161" t="s">
        <v>730</v>
      </c>
      <c r="G77" s="162"/>
      <c r="H77" s="146" t="s">
        <v>731</v>
      </c>
      <c r="I77" s="161" t="s">
        <v>730</v>
      </c>
      <c r="J77" s="162"/>
      <c r="K77" s="159" t="s">
        <v>731</v>
      </c>
      <c r="L77" s="159"/>
      <c r="M77" s="160"/>
      <c r="O77" s="5"/>
    </row>
    <row r="78" spans="1:15" ht="30" x14ac:dyDescent="0.25">
      <c r="A78" s="11"/>
      <c r="B78" s="71" t="str" cm="1">
        <f t="array" ref="B78:B84">_xlfn.SEQUENCE(A77)&amp;"."</f>
        <v>1.</v>
      </c>
      <c r="C78" s="72" t="s">
        <v>88</v>
      </c>
      <c r="D78" s="36" t="s">
        <v>89</v>
      </c>
      <c r="E78" s="36" t="s">
        <v>90</v>
      </c>
      <c r="F78" s="36" t="s">
        <v>91</v>
      </c>
      <c r="G78" s="36" t="s">
        <v>49</v>
      </c>
      <c r="H78" s="36" t="s">
        <v>277</v>
      </c>
      <c r="I78" s="36" t="s">
        <v>4</v>
      </c>
      <c r="J78" s="36" t="s">
        <v>278</v>
      </c>
      <c r="K78" s="87" t="s">
        <v>271</v>
      </c>
      <c r="L78" s="87" t="s">
        <v>272</v>
      </c>
      <c r="M78" s="88" t="s">
        <v>5</v>
      </c>
    </row>
    <row r="79" spans="1:15" ht="45" x14ac:dyDescent="0.25">
      <c r="A79" s="8"/>
      <c r="B79" s="63" t="str">
        <v>2.</v>
      </c>
      <c r="C79" s="41" t="s">
        <v>85</v>
      </c>
      <c r="D79" s="42" t="s">
        <v>86</v>
      </c>
      <c r="E79" s="42" t="s">
        <v>10</v>
      </c>
      <c r="F79" s="42" t="s">
        <v>87</v>
      </c>
      <c r="G79" s="89">
        <v>1</v>
      </c>
      <c r="H79" s="42" t="s">
        <v>273</v>
      </c>
      <c r="I79" s="42" t="s">
        <v>4</v>
      </c>
      <c r="J79" s="42" t="s">
        <v>84</v>
      </c>
      <c r="K79" s="90" t="s">
        <v>271</v>
      </c>
      <c r="L79" s="90" t="s">
        <v>275</v>
      </c>
      <c r="M79" s="91" t="s">
        <v>5</v>
      </c>
    </row>
    <row r="80" spans="1:15" ht="30" x14ac:dyDescent="0.25">
      <c r="A80" s="8"/>
      <c r="B80" s="63" t="str">
        <v>3.</v>
      </c>
      <c r="C80" s="41" t="s">
        <v>92</v>
      </c>
      <c r="D80" s="42" t="s">
        <v>52</v>
      </c>
      <c r="E80" s="42" t="s">
        <v>53</v>
      </c>
      <c r="F80" s="42" t="s">
        <v>93</v>
      </c>
      <c r="G80" s="42" t="s">
        <v>55</v>
      </c>
      <c r="H80" s="42" t="s">
        <v>273</v>
      </c>
      <c r="I80" s="42" t="s">
        <v>4</v>
      </c>
      <c r="J80" s="42" t="s">
        <v>28</v>
      </c>
      <c r="K80" s="90" t="s">
        <v>271</v>
      </c>
      <c r="L80" s="90" t="s">
        <v>272</v>
      </c>
      <c r="M80" s="91" t="s">
        <v>5</v>
      </c>
    </row>
    <row r="81" spans="1:15" ht="30" x14ac:dyDescent="0.25">
      <c r="A81" s="8"/>
      <c r="B81" s="63" t="str">
        <v>4.</v>
      </c>
      <c r="C81" s="41" t="s">
        <v>94</v>
      </c>
      <c r="D81" s="42" t="s">
        <v>95</v>
      </c>
      <c r="E81" s="42" t="s">
        <v>96</v>
      </c>
      <c r="F81" s="42" t="s">
        <v>97</v>
      </c>
      <c r="G81" s="42" t="s">
        <v>64</v>
      </c>
      <c r="H81" s="42" t="s">
        <v>273</v>
      </c>
      <c r="I81" s="42" t="s">
        <v>4</v>
      </c>
      <c r="J81" s="42" t="s">
        <v>80</v>
      </c>
      <c r="K81" s="90" t="s">
        <v>271</v>
      </c>
      <c r="L81" s="90" t="s">
        <v>272</v>
      </c>
      <c r="M81" s="91" t="s">
        <v>5</v>
      </c>
    </row>
    <row r="82" spans="1:15" ht="30" x14ac:dyDescent="0.25">
      <c r="A82" s="8"/>
      <c r="B82" s="63" t="str">
        <v>5.</v>
      </c>
      <c r="C82" s="41" t="s">
        <v>98</v>
      </c>
      <c r="D82" s="42" t="s">
        <v>73</v>
      </c>
      <c r="E82" s="42" t="s">
        <v>99</v>
      </c>
      <c r="F82" s="42" t="s">
        <v>75</v>
      </c>
      <c r="G82" s="79" t="s">
        <v>59</v>
      </c>
      <c r="H82" s="42" t="s">
        <v>273</v>
      </c>
      <c r="I82" s="42" t="s">
        <v>4</v>
      </c>
      <c r="J82" s="42" t="s">
        <v>76</v>
      </c>
      <c r="K82" s="90" t="s">
        <v>271</v>
      </c>
      <c r="L82" s="90" t="s">
        <v>272</v>
      </c>
      <c r="M82" s="91" t="s">
        <v>5</v>
      </c>
    </row>
    <row r="83" spans="1:15" ht="45" x14ac:dyDescent="0.25">
      <c r="A83" s="8"/>
      <c r="B83" s="63" t="str">
        <v>6.</v>
      </c>
      <c r="C83" s="41" t="s">
        <v>77</v>
      </c>
      <c r="D83" s="42" t="s">
        <v>100</v>
      </c>
      <c r="E83" s="42" t="s">
        <v>101</v>
      </c>
      <c r="F83" s="89">
        <v>1</v>
      </c>
      <c r="G83" s="79" t="s">
        <v>59</v>
      </c>
      <c r="H83" s="42" t="s">
        <v>273</v>
      </c>
      <c r="I83" s="42" t="s">
        <v>4</v>
      </c>
      <c r="J83" s="42" t="s">
        <v>80</v>
      </c>
      <c r="K83" s="90" t="s">
        <v>271</v>
      </c>
      <c r="L83" s="90" t="s">
        <v>275</v>
      </c>
      <c r="M83" s="91" t="s">
        <v>5</v>
      </c>
    </row>
    <row r="84" spans="1:15" ht="45" x14ac:dyDescent="0.25">
      <c r="A84" s="8"/>
      <c r="B84" s="63" t="str">
        <v>7.</v>
      </c>
      <c r="C84" s="41" t="s">
        <v>81</v>
      </c>
      <c r="D84" s="42" t="s">
        <v>82</v>
      </c>
      <c r="E84" s="42" t="s">
        <v>83</v>
      </c>
      <c r="F84" s="42" t="s">
        <v>43</v>
      </c>
      <c r="G84" s="79" t="s">
        <v>276</v>
      </c>
      <c r="H84" s="42" t="s">
        <v>273</v>
      </c>
      <c r="I84" s="42" t="s">
        <v>4</v>
      </c>
      <c r="J84" s="42" t="s">
        <v>84</v>
      </c>
      <c r="K84" s="90" t="s">
        <v>271</v>
      </c>
      <c r="L84" s="90" t="s">
        <v>275</v>
      </c>
      <c r="M84" s="91" t="s">
        <v>5</v>
      </c>
    </row>
    <row r="85" spans="1:15" x14ac:dyDescent="0.25">
      <c r="A85" s="6"/>
      <c r="B85" s="84"/>
      <c r="C85" s="55"/>
      <c r="D85" s="66"/>
      <c r="E85" s="66"/>
      <c r="F85" s="66"/>
      <c r="G85" s="66"/>
      <c r="H85" s="67"/>
      <c r="I85" s="66"/>
      <c r="J85" s="66"/>
      <c r="K85" s="92"/>
      <c r="L85" s="92"/>
      <c r="M85" s="93"/>
    </row>
    <row r="86" spans="1:15" s="1" customFormat="1" ht="30" x14ac:dyDescent="0.25">
      <c r="A86" s="112" cm="1">
        <f t="array" ref="A86">IFERROR(MATCH(TRUE,ISBLANK(C87:C198),0)-1, COUNTA(C87:C198))</f>
        <v>9</v>
      </c>
      <c r="B86" s="113" t="s">
        <v>621</v>
      </c>
      <c r="C86" s="115"/>
      <c r="D86" s="145" t="s">
        <v>730</v>
      </c>
      <c r="E86" s="146" t="s">
        <v>731</v>
      </c>
      <c r="F86" s="161" t="s">
        <v>730</v>
      </c>
      <c r="G86" s="162"/>
      <c r="H86" s="146" t="s">
        <v>731</v>
      </c>
      <c r="I86" s="161" t="s">
        <v>730</v>
      </c>
      <c r="J86" s="162"/>
      <c r="K86" s="159" t="s">
        <v>731</v>
      </c>
      <c r="L86" s="159"/>
      <c r="M86" s="160"/>
      <c r="O86" s="5"/>
    </row>
    <row r="87" spans="1:15" ht="45" x14ac:dyDescent="0.25">
      <c r="A87" s="10"/>
      <c r="B87" s="34" t="str" cm="1">
        <f t="array" ref="B87:B95">_xlfn.SEQUENCE(A86)&amp;"."</f>
        <v>1.</v>
      </c>
      <c r="C87" s="35" t="s">
        <v>85</v>
      </c>
      <c r="D87" s="36" t="s">
        <v>9</v>
      </c>
      <c r="E87" s="36" t="s">
        <v>10</v>
      </c>
      <c r="F87" s="36" t="s">
        <v>11</v>
      </c>
      <c r="G87" s="94">
        <v>1</v>
      </c>
      <c r="H87" s="36" t="s">
        <v>279</v>
      </c>
      <c r="I87" s="36" t="s">
        <v>6</v>
      </c>
      <c r="J87" s="36" t="s">
        <v>12</v>
      </c>
      <c r="K87" s="87" t="s">
        <v>271</v>
      </c>
      <c r="L87" s="87" t="s">
        <v>275</v>
      </c>
      <c r="M87" s="88" t="s">
        <v>5</v>
      </c>
    </row>
    <row r="88" spans="1:15" ht="30" x14ac:dyDescent="0.25">
      <c r="A88" s="8"/>
      <c r="B88" s="63" t="str">
        <v>2.</v>
      </c>
      <c r="C88" s="41" t="s">
        <v>622</v>
      </c>
      <c r="D88" s="42" t="s">
        <v>13</v>
      </c>
      <c r="E88" s="42" t="s">
        <v>14</v>
      </c>
      <c r="F88" s="42" t="s">
        <v>15</v>
      </c>
      <c r="G88" s="89">
        <v>1</v>
      </c>
      <c r="H88" s="42" t="s">
        <v>279</v>
      </c>
      <c r="I88" s="42" t="s">
        <v>6</v>
      </c>
      <c r="J88" s="42" t="s">
        <v>16</v>
      </c>
      <c r="K88" s="90" t="s">
        <v>271</v>
      </c>
      <c r="L88" s="90" t="s">
        <v>272</v>
      </c>
      <c r="M88" s="91" t="s">
        <v>5</v>
      </c>
    </row>
    <row r="89" spans="1:15" ht="30" x14ac:dyDescent="0.25">
      <c r="A89" s="8"/>
      <c r="B89" s="63" t="str">
        <v>3.</v>
      </c>
      <c r="C89" s="41" t="s">
        <v>623</v>
      </c>
      <c r="D89" s="42" t="s">
        <v>17</v>
      </c>
      <c r="E89" s="42" t="s">
        <v>18</v>
      </c>
      <c r="F89" s="42" t="s">
        <v>19</v>
      </c>
      <c r="G89" s="89">
        <v>1</v>
      </c>
      <c r="H89" s="42" t="s">
        <v>279</v>
      </c>
      <c r="I89" s="42" t="s">
        <v>6</v>
      </c>
      <c r="J89" s="42" t="s">
        <v>280</v>
      </c>
      <c r="K89" s="90" t="s">
        <v>271</v>
      </c>
      <c r="L89" s="90" t="s">
        <v>272</v>
      </c>
      <c r="M89" s="91" t="s">
        <v>5</v>
      </c>
    </row>
    <row r="90" spans="1:15" ht="60" x14ac:dyDescent="0.25">
      <c r="A90" s="8"/>
      <c r="B90" s="63" t="str">
        <v>4.</v>
      </c>
      <c r="C90" s="41" t="s">
        <v>624</v>
      </c>
      <c r="D90" s="42" t="s">
        <v>20</v>
      </c>
      <c r="E90" s="42" t="s">
        <v>21</v>
      </c>
      <c r="F90" s="42" t="s">
        <v>22</v>
      </c>
      <c r="G90" s="42" t="s">
        <v>23</v>
      </c>
      <c r="H90" s="42" t="s">
        <v>279</v>
      </c>
      <c r="I90" s="42" t="s">
        <v>6</v>
      </c>
      <c r="J90" s="42" t="s">
        <v>28</v>
      </c>
      <c r="K90" s="90" t="s">
        <v>271</v>
      </c>
      <c r="L90" s="90" t="s">
        <v>272</v>
      </c>
      <c r="M90" s="91" t="s">
        <v>5</v>
      </c>
    </row>
    <row r="91" spans="1:15" ht="30" x14ac:dyDescent="0.25">
      <c r="A91" s="8"/>
      <c r="B91" s="63" t="str">
        <v>5.</v>
      </c>
      <c r="C91" s="41" t="s">
        <v>625</v>
      </c>
      <c r="D91" s="42" t="s">
        <v>24</v>
      </c>
      <c r="E91" s="42" t="s">
        <v>25</v>
      </c>
      <c r="F91" s="42" t="s">
        <v>26</v>
      </c>
      <c r="G91" s="42" t="s">
        <v>27</v>
      </c>
      <c r="H91" s="42" t="s">
        <v>279</v>
      </c>
      <c r="I91" s="42" t="s">
        <v>6</v>
      </c>
      <c r="J91" s="42" t="s">
        <v>28</v>
      </c>
      <c r="K91" s="90" t="s">
        <v>271</v>
      </c>
      <c r="L91" s="90" t="s">
        <v>272</v>
      </c>
      <c r="M91" s="91" t="s">
        <v>5</v>
      </c>
    </row>
    <row r="92" spans="1:15" ht="30" x14ac:dyDescent="0.25">
      <c r="A92" s="8"/>
      <c r="B92" s="63" t="str">
        <v>6.</v>
      </c>
      <c r="C92" s="41" t="s">
        <v>626</v>
      </c>
      <c r="D92" s="42" t="s">
        <v>29</v>
      </c>
      <c r="E92" s="42" t="s">
        <v>30</v>
      </c>
      <c r="F92" s="42" t="s">
        <v>31</v>
      </c>
      <c r="G92" s="89">
        <v>1</v>
      </c>
      <c r="H92" s="42" t="s">
        <v>279</v>
      </c>
      <c r="I92" s="42" t="s">
        <v>6</v>
      </c>
      <c r="J92" s="42" t="s">
        <v>32</v>
      </c>
      <c r="K92" s="90" t="s">
        <v>271</v>
      </c>
      <c r="L92" s="90" t="s">
        <v>272</v>
      </c>
      <c r="M92" s="91" t="s">
        <v>5</v>
      </c>
    </row>
    <row r="93" spans="1:15" ht="30" x14ac:dyDescent="0.25">
      <c r="A93" s="8"/>
      <c r="B93" s="63" t="str">
        <v>7.</v>
      </c>
      <c r="C93" s="41" t="s">
        <v>627</v>
      </c>
      <c r="D93" s="42" t="s">
        <v>33</v>
      </c>
      <c r="E93" s="42" t="s">
        <v>34</v>
      </c>
      <c r="F93" s="42" t="s">
        <v>35</v>
      </c>
      <c r="G93" s="42" t="s">
        <v>36</v>
      </c>
      <c r="H93" s="42" t="s">
        <v>279</v>
      </c>
      <c r="I93" s="42" t="s">
        <v>6</v>
      </c>
      <c r="J93" s="42" t="s">
        <v>37</v>
      </c>
      <c r="K93" s="90" t="s">
        <v>271</v>
      </c>
      <c r="L93" s="90" t="s">
        <v>272</v>
      </c>
      <c r="M93" s="91" t="s">
        <v>5</v>
      </c>
    </row>
    <row r="94" spans="1:15" ht="45" x14ac:dyDescent="0.25">
      <c r="A94" s="8"/>
      <c r="B94" s="63" t="str">
        <v>8.</v>
      </c>
      <c r="C94" s="41" t="s">
        <v>77</v>
      </c>
      <c r="D94" s="42" t="s">
        <v>38</v>
      </c>
      <c r="E94" s="42" t="s">
        <v>39</v>
      </c>
      <c r="F94" s="42" t="s">
        <v>40</v>
      </c>
      <c r="G94" s="89">
        <v>1</v>
      </c>
      <c r="H94" s="42" t="s">
        <v>279</v>
      </c>
      <c r="I94" s="42" t="s">
        <v>6</v>
      </c>
      <c r="J94" s="42" t="s">
        <v>32</v>
      </c>
      <c r="K94" s="90" t="s">
        <v>271</v>
      </c>
      <c r="L94" s="90" t="s">
        <v>275</v>
      </c>
      <c r="M94" s="91" t="s">
        <v>5</v>
      </c>
    </row>
    <row r="95" spans="1:15" ht="45" x14ac:dyDescent="0.25">
      <c r="A95" s="8"/>
      <c r="B95" s="63" t="str">
        <v>9.</v>
      </c>
      <c r="C95" s="41" t="s">
        <v>81</v>
      </c>
      <c r="D95" s="42" t="s">
        <v>41</v>
      </c>
      <c r="E95" s="42" t="s">
        <v>42</v>
      </c>
      <c r="F95" s="42" t="s">
        <v>43</v>
      </c>
      <c r="G95" s="42" t="s">
        <v>44</v>
      </c>
      <c r="H95" s="42" t="s">
        <v>279</v>
      </c>
      <c r="I95" s="42" t="s">
        <v>6</v>
      </c>
      <c r="J95" s="42" t="s">
        <v>281</v>
      </c>
      <c r="K95" s="90" t="s">
        <v>271</v>
      </c>
      <c r="L95" s="90" t="s">
        <v>275</v>
      </c>
      <c r="M95" s="91" t="s">
        <v>5</v>
      </c>
    </row>
    <row r="96" spans="1:15" x14ac:dyDescent="0.25">
      <c r="A96" s="9"/>
      <c r="B96" s="64"/>
      <c r="C96" s="65"/>
      <c r="D96" s="66"/>
      <c r="E96" s="66"/>
      <c r="F96" s="66"/>
      <c r="G96" s="66"/>
      <c r="H96" s="67"/>
      <c r="I96" s="66"/>
      <c r="J96" s="66"/>
      <c r="K96" s="92"/>
      <c r="L96" s="92"/>
      <c r="M96" s="93"/>
    </row>
    <row r="97" spans="1:15" s="1" customFormat="1" ht="30" x14ac:dyDescent="0.25">
      <c r="A97" s="112" cm="1">
        <f t="array" ref="A97">IFERROR(MATCH(TRUE,ISBLANK(C98:C208),0)-1, COUNTA(C98:C208))</f>
        <v>6</v>
      </c>
      <c r="B97" s="113" t="s">
        <v>628</v>
      </c>
      <c r="C97" s="115"/>
      <c r="D97" s="145" t="s">
        <v>730</v>
      </c>
      <c r="E97" s="146" t="s">
        <v>731</v>
      </c>
      <c r="F97" s="161" t="s">
        <v>730</v>
      </c>
      <c r="G97" s="162"/>
      <c r="H97" s="146" t="s">
        <v>731</v>
      </c>
      <c r="I97" s="161" t="s">
        <v>730</v>
      </c>
      <c r="J97" s="162"/>
      <c r="K97" s="159" t="s">
        <v>731</v>
      </c>
      <c r="L97" s="159"/>
      <c r="M97" s="160"/>
      <c r="O97" s="5"/>
    </row>
    <row r="98" spans="1:15" ht="60" x14ac:dyDescent="0.25">
      <c r="A98" s="10"/>
      <c r="B98" s="34" t="str" cm="1">
        <f t="array" ref="B98:B103">_xlfn.SEQUENCE(A97)&amp;"."</f>
        <v>1.</v>
      </c>
      <c r="C98" s="35" t="s">
        <v>629</v>
      </c>
      <c r="D98" s="36" t="s">
        <v>282</v>
      </c>
      <c r="E98" s="36" t="s">
        <v>283</v>
      </c>
      <c r="F98" s="36" t="s">
        <v>284</v>
      </c>
      <c r="G98" s="36" t="s">
        <v>285</v>
      </c>
      <c r="H98" s="36" t="s">
        <v>286</v>
      </c>
      <c r="I98" s="36" t="s">
        <v>287</v>
      </c>
      <c r="J98" s="36" t="s">
        <v>288</v>
      </c>
      <c r="K98" s="87" t="s">
        <v>271</v>
      </c>
      <c r="L98" s="87" t="s">
        <v>275</v>
      </c>
      <c r="M98" s="88" t="s">
        <v>5</v>
      </c>
    </row>
    <row r="99" spans="1:15" ht="45" x14ac:dyDescent="0.25">
      <c r="A99" s="8"/>
      <c r="B99" s="63" t="str">
        <v>2.</v>
      </c>
      <c r="C99" s="41" t="s">
        <v>630</v>
      </c>
      <c r="D99" s="42" t="s">
        <v>289</v>
      </c>
      <c r="E99" s="42" t="s">
        <v>290</v>
      </c>
      <c r="F99" s="42" t="s">
        <v>291</v>
      </c>
      <c r="G99" s="42" t="s">
        <v>158</v>
      </c>
      <c r="H99" s="42" t="s">
        <v>286</v>
      </c>
      <c r="I99" s="42" t="s">
        <v>287</v>
      </c>
      <c r="J99" s="42" t="s">
        <v>32</v>
      </c>
      <c r="K99" s="90" t="s">
        <v>271</v>
      </c>
      <c r="L99" s="90" t="s">
        <v>272</v>
      </c>
      <c r="M99" s="91" t="s">
        <v>5</v>
      </c>
    </row>
    <row r="100" spans="1:15" ht="45" x14ac:dyDescent="0.25">
      <c r="A100" s="8"/>
      <c r="B100" s="63" t="str">
        <v>3.</v>
      </c>
      <c r="C100" s="41" t="s">
        <v>631</v>
      </c>
      <c r="D100" s="42" t="s">
        <v>292</v>
      </c>
      <c r="E100" s="42" t="s">
        <v>293</v>
      </c>
      <c r="F100" s="42" t="s">
        <v>294</v>
      </c>
      <c r="G100" s="42" t="s">
        <v>295</v>
      </c>
      <c r="H100" s="42" t="s">
        <v>286</v>
      </c>
      <c r="I100" s="42" t="s">
        <v>287</v>
      </c>
      <c r="J100" s="42" t="s">
        <v>16</v>
      </c>
      <c r="K100" s="90" t="s">
        <v>271</v>
      </c>
      <c r="L100" s="90" t="s">
        <v>275</v>
      </c>
      <c r="M100" s="91" t="s">
        <v>5</v>
      </c>
    </row>
    <row r="101" spans="1:15" ht="45" x14ac:dyDescent="0.25">
      <c r="A101" s="8"/>
      <c r="B101" s="63" t="str">
        <v>4.</v>
      </c>
      <c r="C101" s="41" t="s">
        <v>632</v>
      </c>
      <c r="D101" s="42" t="s">
        <v>296</v>
      </c>
      <c r="E101" s="42" t="s">
        <v>297</v>
      </c>
      <c r="F101" s="42" t="s">
        <v>298</v>
      </c>
      <c r="G101" s="42" t="s">
        <v>299</v>
      </c>
      <c r="H101" s="42" t="s">
        <v>286</v>
      </c>
      <c r="I101" s="42" t="s">
        <v>287</v>
      </c>
      <c r="J101" s="42" t="s">
        <v>288</v>
      </c>
      <c r="K101" s="90" t="s">
        <v>271</v>
      </c>
      <c r="L101" s="90" t="s">
        <v>272</v>
      </c>
      <c r="M101" s="91" t="s">
        <v>5</v>
      </c>
    </row>
    <row r="102" spans="1:15" ht="45" x14ac:dyDescent="0.25">
      <c r="A102" s="8"/>
      <c r="B102" s="63" t="str">
        <v>5.</v>
      </c>
      <c r="C102" s="41" t="s">
        <v>633</v>
      </c>
      <c r="D102" s="42" t="s">
        <v>300</v>
      </c>
      <c r="E102" s="42" t="s">
        <v>301</v>
      </c>
      <c r="F102" s="42" t="s">
        <v>302</v>
      </c>
      <c r="G102" s="42" t="s">
        <v>303</v>
      </c>
      <c r="H102" s="42" t="s">
        <v>286</v>
      </c>
      <c r="I102" s="42" t="s">
        <v>287</v>
      </c>
      <c r="J102" s="42" t="s">
        <v>288</v>
      </c>
      <c r="K102" s="90" t="s">
        <v>271</v>
      </c>
      <c r="L102" s="90" t="s">
        <v>272</v>
      </c>
      <c r="M102" s="91" t="s">
        <v>5</v>
      </c>
    </row>
    <row r="103" spans="1:15" ht="60" x14ac:dyDescent="0.25">
      <c r="A103" s="8"/>
      <c r="B103" s="63" t="str">
        <v>6.</v>
      </c>
      <c r="C103" s="41" t="s">
        <v>634</v>
      </c>
      <c r="D103" s="42" t="s">
        <v>304</v>
      </c>
      <c r="E103" s="42" t="s">
        <v>305</v>
      </c>
      <c r="F103" s="42" t="s">
        <v>306</v>
      </c>
      <c r="G103" s="42" t="s">
        <v>307</v>
      </c>
      <c r="H103" s="42" t="s">
        <v>286</v>
      </c>
      <c r="I103" s="42" t="s">
        <v>287</v>
      </c>
      <c r="J103" s="42" t="s">
        <v>308</v>
      </c>
      <c r="K103" s="90" t="s">
        <v>271</v>
      </c>
      <c r="L103" s="90" t="s">
        <v>275</v>
      </c>
      <c r="M103" s="91" t="s">
        <v>5</v>
      </c>
    </row>
    <row r="104" spans="1:15" ht="15.75" thickBot="1" x14ac:dyDescent="0.3">
      <c r="A104" s="7"/>
      <c r="B104" s="70"/>
      <c r="C104" s="47"/>
      <c r="D104" s="48"/>
      <c r="E104" s="48"/>
      <c r="F104" s="48"/>
      <c r="G104" s="48"/>
      <c r="H104" s="49"/>
      <c r="I104" s="48"/>
      <c r="J104" s="48"/>
      <c r="K104" s="95"/>
      <c r="L104" s="95"/>
      <c r="M104" s="96"/>
    </row>
    <row r="105" spans="1:15" s="1" customFormat="1" ht="20.100000000000001" customHeight="1" x14ac:dyDescent="0.25">
      <c r="A105" s="116" t="s">
        <v>309</v>
      </c>
      <c r="B105" s="119"/>
      <c r="C105" s="119"/>
      <c r="D105" s="210" t="s">
        <v>711</v>
      </c>
      <c r="E105" s="212"/>
      <c r="F105" s="210" t="s">
        <v>712</v>
      </c>
      <c r="G105" s="211"/>
      <c r="H105" s="212"/>
      <c r="I105" s="210" t="s">
        <v>722</v>
      </c>
      <c r="J105" s="211"/>
      <c r="K105" s="211"/>
      <c r="L105" s="211"/>
      <c r="M105" s="213"/>
      <c r="O105" s="2"/>
    </row>
    <row r="106" spans="1:15" s="1" customFormat="1" ht="30" x14ac:dyDescent="0.25">
      <c r="A106" s="112" cm="1">
        <f t="array" ref="A106">IFERROR(MATCH(TRUE,ISBLANK(C107:C216),0)-1, COUNTA(C107:C216))</f>
        <v>8</v>
      </c>
      <c r="B106" s="113" t="s">
        <v>635</v>
      </c>
      <c r="C106" s="115"/>
      <c r="D106" s="145" t="s">
        <v>730</v>
      </c>
      <c r="E106" s="146" t="s">
        <v>731</v>
      </c>
      <c r="F106" s="161" t="s">
        <v>730</v>
      </c>
      <c r="G106" s="162"/>
      <c r="H106" s="146" t="s">
        <v>731</v>
      </c>
      <c r="I106" s="161" t="s">
        <v>730</v>
      </c>
      <c r="J106" s="162"/>
      <c r="K106" s="159" t="s">
        <v>731</v>
      </c>
      <c r="L106" s="159"/>
      <c r="M106" s="160"/>
      <c r="O106" s="5"/>
    </row>
    <row r="107" spans="1:15" ht="45" x14ac:dyDescent="0.25">
      <c r="A107" s="10"/>
      <c r="B107" s="34" t="str" cm="1">
        <f t="array" ref="B107:B114">_xlfn.SEQUENCE(A106)&amp;"."</f>
        <v>1.</v>
      </c>
      <c r="C107" s="35" t="s">
        <v>590</v>
      </c>
      <c r="D107" s="36" t="s">
        <v>310</v>
      </c>
      <c r="E107" s="36" t="s">
        <v>156</v>
      </c>
      <c r="F107" s="36" t="s">
        <v>311</v>
      </c>
      <c r="G107" s="36" t="s">
        <v>158</v>
      </c>
      <c r="H107" s="36" t="s">
        <v>312</v>
      </c>
      <c r="I107" s="36" t="s">
        <v>4</v>
      </c>
      <c r="J107" s="36" t="s">
        <v>313</v>
      </c>
      <c r="K107" s="38" t="s">
        <v>271</v>
      </c>
      <c r="L107" s="38" t="s">
        <v>275</v>
      </c>
      <c r="M107" s="39" t="s">
        <v>5</v>
      </c>
    </row>
    <row r="108" spans="1:15" ht="45" x14ac:dyDescent="0.25">
      <c r="A108" s="8"/>
      <c r="B108" s="63" t="str">
        <v>2.</v>
      </c>
      <c r="C108" s="41" t="s">
        <v>636</v>
      </c>
      <c r="D108" s="42" t="s">
        <v>314</v>
      </c>
      <c r="E108" s="42" t="s">
        <v>174</v>
      </c>
      <c r="F108" s="42" t="s">
        <v>315</v>
      </c>
      <c r="G108" s="42" t="s">
        <v>316</v>
      </c>
      <c r="H108" s="42" t="s">
        <v>317</v>
      </c>
      <c r="I108" s="42" t="s">
        <v>4</v>
      </c>
      <c r="J108" s="42" t="s">
        <v>318</v>
      </c>
      <c r="K108" s="44" t="s">
        <v>271</v>
      </c>
      <c r="L108" s="44" t="s">
        <v>275</v>
      </c>
      <c r="M108" s="45" t="s">
        <v>5</v>
      </c>
    </row>
    <row r="109" spans="1:15" ht="45" x14ac:dyDescent="0.25">
      <c r="A109" s="8"/>
      <c r="B109" s="63" t="str">
        <v>3.</v>
      </c>
      <c r="C109" s="41" t="s">
        <v>637</v>
      </c>
      <c r="D109" s="42" t="s">
        <v>319</v>
      </c>
      <c r="E109" s="42" t="s">
        <v>320</v>
      </c>
      <c r="F109" s="42" t="s">
        <v>321</v>
      </c>
      <c r="G109" s="42" t="s">
        <v>322</v>
      </c>
      <c r="H109" s="42" t="s">
        <v>317</v>
      </c>
      <c r="I109" s="42" t="s">
        <v>4</v>
      </c>
      <c r="J109" s="42" t="s">
        <v>323</v>
      </c>
      <c r="K109" s="44" t="s">
        <v>271</v>
      </c>
      <c r="L109" s="44" t="s">
        <v>272</v>
      </c>
      <c r="M109" s="45" t="s">
        <v>5</v>
      </c>
    </row>
    <row r="110" spans="1:15" ht="45" x14ac:dyDescent="0.25">
      <c r="A110" s="8"/>
      <c r="B110" s="63" t="str">
        <v>4.</v>
      </c>
      <c r="C110" s="41" t="s">
        <v>638</v>
      </c>
      <c r="D110" s="42" t="s">
        <v>324</v>
      </c>
      <c r="E110" s="42" t="s">
        <v>325</v>
      </c>
      <c r="F110" s="42" t="s">
        <v>326</v>
      </c>
      <c r="G110" s="42" t="s">
        <v>327</v>
      </c>
      <c r="H110" s="42" t="s">
        <v>317</v>
      </c>
      <c r="I110" s="42" t="s">
        <v>4</v>
      </c>
      <c r="J110" s="42" t="s">
        <v>328</v>
      </c>
      <c r="K110" s="44" t="s">
        <v>271</v>
      </c>
      <c r="L110" s="44" t="s">
        <v>272</v>
      </c>
      <c r="M110" s="45" t="s">
        <v>5</v>
      </c>
    </row>
    <row r="111" spans="1:15" ht="45" x14ac:dyDescent="0.25">
      <c r="A111" s="8"/>
      <c r="B111" s="63" t="str">
        <v>5.</v>
      </c>
      <c r="C111" s="41" t="s">
        <v>639</v>
      </c>
      <c r="D111" s="42" t="s">
        <v>329</v>
      </c>
      <c r="E111" s="42" t="s">
        <v>330</v>
      </c>
      <c r="F111" s="42" t="s">
        <v>331</v>
      </c>
      <c r="G111" s="42" t="s">
        <v>332</v>
      </c>
      <c r="H111" s="42" t="s">
        <v>317</v>
      </c>
      <c r="I111" s="42" t="s">
        <v>4</v>
      </c>
      <c r="J111" s="42" t="s">
        <v>333</v>
      </c>
      <c r="K111" s="44" t="s">
        <v>271</v>
      </c>
      <c r="L111" s="44" t="s">
        <v>5</v>
      </c>
      <c r="M111" s="45" t="s">
        <v>5</v>
      </c>
    </row>
    <row r="112" spans="1:15" ht="45" x14ac:dyDescent="0.25">
      <c r="A112" s="8"/>
      <c r="B112" s="63" t="str">
        <v>6.</v>
      </c>
      <c r="C112" s="41" t="s">
        <v>640</v>
      </c>
      <c r="D112" s="42" t="s">
        <v>334</v>
      </c>
      <c r="E112" s="42" t="s">
        <v>335</v>
      </c>
      <c r="F112" s="42" t="s">
        <v>336</v>
      </c>
      <c r="G112" s="42" t="s">
        <v>332</v>
      </c>
      <c r="H112" s="42" t="s">
        <v>317</v>
      </c>
      <c r="I112" s="42" t="s">
        <v>4</v>
      </c>
      <c r="J112" s="42" t="s">
        <v>337</v>
      </c>
      <c r="K112" s="44" t="s">
        <v>275</v>
      </c>
      <c r="L112" s="44" t="s">
        <v>275</v>
      </c>
      <c r="M112" s="45" t="s">
        <v>5</v>
      </c>
    </row>
    <row r="113" spans="1:15" ht="45" x14ac:dyDescent="0.25">
      <c r="A113" s="8"/>
      <c r="B113" s="63" t="str">
        <v>7.</v>
      </c>
      <c r="C113" s="41" t="s">
        <v>641</v>
      </c>
      <c r="D113" s="42" t="s">
        <v>338</v>
      </c>
      <c r="E113" s="42" t="s">
        <v>145</v>
      </c>
      <c r="F113" s="42" t="s">
        <v>339</v>
      </c>
      <c r="G113" s="42" t="s">
        <v>327</v>
      </c>
      <c r="H113" s="42" t="s">
        <v>317</v>
      </c>
      <c r="I113" s="42" t="s">
        <v>4</v>
      </c>
      <c r="J113" s="42" t="s">
        <v>340</v>
      </c>
      <c r="K113" s="44" t="s">
        <v>275</v>
      </c>
      <c r="L113" s="44" t="s">
        <v>275</v>
      </c>
      <c r="M113" s="45" t="s">
        <v>5</v>
      </c>
    </row>
    <row r="114" spans="1:15" ht="30" x14ac:dyDescent="0.25">
      <c r="A114" s="8"/>
      <c r="B114" s="63" t="str">
        <v>8.</v>
      </c>
      <c r="C114" s="41" t="s">
        <v>616</v>
      </c>
      <c r="D114" s="42" t="s">
        <v>341</v>
      </c>
      <c r="E114" s="42" t="s">
        <v>265</v>
      </c>
      <c r="F114" s="42" t="s">
        <v>342</v>
      </c>
      <c r="G114" s="42" t="s">
        <v>343</v>
      </c>
      <c r="H114" s="42" t="s">
        <v>317</v>
      </c>
      <c r="I114" s="42" t="s">
        <v>4</v>
      </c>
      <c r="J114" s="42" t="s">
        <v>268</v>
      </c>
      <c r="K114" s="44" t="s">
        <v>275</v>
      </c>
      <c r="L114" s="44" t="s">
        <v>275</v>
      </c>
      <c r="M114" s="45" t="s">
        <v>5</v>
      </c>
    </row>
    <row r="115" spans="1:15" x14ac:dyDescent="0.25">
      <c r="A115" s="9"/>
      <c r="B115" s="64"/>
      <c r="C115" s="65"/>
      <c r="D115" s="66"/>
      <c r="E115" s="66"/>
      <c r="F115" s="66"/>
      <c r="G115" s="66"/>
      <c r="H115" s="67"/>
      <c r="I115" s="66"/>
      <c r="J115" s="66"/>
      <c r="K115" s="68"/>
      <c r="L115" s="68"/>
      <c r="M115" s="69"/>
    </row>
    <row r="116" spans="1:15" s="1" customFormat="1" ht="30" x14ac:dyDescent="0.25">
      <c r="A116" s="112" cm="1">
        <f t="array" ref="A116">IFERROR(MATCH(TRUE,ISBLANK(C117:C225),0)-1, COUNTA(C117:C225))</f>
        <v>6</v>
      </c>
      <c r="B116" s="113" t="s">
        <v>642</v>
      </c>
      <c r="C116" s="115"/>
      <c r="D116" s="145" t="s">
        <v>730</v>
      </c>
      <c r="E116" s="146" t="s">
        <v>731</v>
      </c>
      <c r="F116" s="161" t="s">
        <v>730</v>
      </c>
      <c r="G116" s="162"/>
      <c r="H116" s="146" t="s">
        <v>731</v>
      </c>
      <c r="I116" s="161" t="s">
        <v>730</v>
      </c>
      <c r="J116" s="162"/>
      <c r="K116" s="159" t="s">
        <v>731</v>
      </c>
      <c r="L116" s="159"/>
      <c r="M116" s="160"/>
      <c r="O116" s="5"/>
    </row>
    <row r="117" spans="1:15" ht="45" x14ac:dyDescent="0.25">
      <c r="A117" s="10"/>
      <c r="B117" s="61" t="str" cm="1">
        <f t="array" ref="B117:B122">_xlfn.SEQUENCE(A116)&amp;"."</f>
        <v>1.</v>
      </c>
      <c r="C117" s="35" t="s">
        <v>590</v>
      </c>
      <c r="D117" s="36" t="s">
        <v>344</v>
      </c>
      <c r="E117" s="36" t="s">
        <v>156</v>
      </c>
      <c r="F117" s="36" t="s">
        <v>345</v>
      </c>
      <c r="G117" s="36" t="s">
        <v>158</v>
      </c>
      <c r="H117" s="36" t="s">
        <v>312</v>
      </c>
      <c r="I117" s="37"/>
      <c r="J117" s="36" t="s">
        <v>313</v>
      </c>
      <c r="K117" s="38" t="s">
        <v>271</v>
      </c>
      <c r="L117" s="38" t="s">
        <v>275</v>
      </c>
      <c r="M117" s="39" t="s">
        <v>5</v>
      </c>
    </row>
    <row r="118" spans="1:15" ht="60" x14ac:dyDescent="0.25">
      <c r="A118" s="8"/>
      <c r="B118" s="63" t="str">
        <v>2.</v>
      </c>
      <c r="C118" s="41" t="s">
        <v>643</v>
      </c>
      <c r="D118" s="42" t="s">
        <v>346</v>
      </c>
      <c r="E118" s="42" t="s">
        <v>174</v>
      </c>
      <c r="F118" s="42" t="s">
        <v>347</v>
      </c>
      <c r="G118" s="42" t="s">
        <v>348</v>
      </c>
      <c r="H118" s="42" t="s">
        <v>349</v>
      </c>
      <c r="I118" s="42" t="s">
        <v>4</v>
      </c>
      <c r="J118" s="42" t="s">
        <v>350</v>
      </c>
      <c r="K118" s="44" t="s">
        <v>271</v>
      </c>
      <c r="L118" s="44" t="s">
        <v>272</v>
      </c>
      <c r="M118" s="45" t="s">
        <v>5</v>
      </c>
    </row>
    <row r="119" spans="1:15" ht="45" x14ac:dyDescent="0.25">
      <c r="A119" s="8"/>
      <c r="B119" s="63" t="str">
        <v>3.</v>
      </c>
      <c r="C119" s="41" t="s">
        <v>638</v>
      </c>
      <c r="D119" s="42" t="s">
        <v>351</v>
      </c>
      <c r="E119" s="42" t="s">
        <v>325</v>
      </c>
      <c r="F119" s="42" t="s">
        <v>352</v>
      </c>
      <c r="G119" s="42" t="s">
        <v>327</v>
      </c>
      <c r="H119" s="42" t="s">
        <v>349</v>
      </c>
      <c r="I119" s="42" t="s">
        <v>4</v>
      </c>
      <c r="J119" s="42" t="s">
        <v>353</v>
      </c>
      <c r="K119" s="44" t="s">
        <v>271</v>
      </c>
      <c r="L119" s="44" t="s">
        <v>272</v>
      </c>
      <c r="M119" s="45" t="s">
        <v>5</v>
      </c>
    </row>
    <row r="120" spans="1:15" ht="45" x14ac:dyDescent="0.25">
      <c r="A120" s="8"/>
      <c r="B120" s="63" t="str">
        <v>4.</v>
      </c>
      <c r="C120" s="41" t="s">
        <v>644</v>
      </c>
      <c r="D120" s="42" t="s">
        <v>329</v>
      </c>
      <c r="E120" s="42" t="s">
        <v>354</v>
      </c>
      <c r="F120" s="42" t="s">
        <v>331</v>
      </c>
      <c r="G120" s="42" t="s">
        <v>332</v>
      </c>
      <c r="H120" s="42" t="s">
        <v>349</v>
      </c>
      <c r="I120" s="42" t="s">
        <v>4</v>
      </c>
      <c r="J120" s="42" t="s">
        <v>333</v>
      </c>
      <c r="K120" s="44" t="s">
        <v>275</v>
      </c>
      <c r="L120" s="44" t="s">
        <v>275</v>
      </c>
      <c r="M120" s="45" t="s">
        <v>5</v>
      </c>
    </row>
    <row r="121" spans="1:15" ht="30" x14ac:dyDescent="0.25">
      <c r="A121" s="8"/>
      <c r="B121" s="63" t="str">
        <v>5.</v>
      </c>
      <c r="C121" s="41" t="s">
        <v>645</v>
      </c>
      <c r="D121" s="42" t="s">
        <v>355</v>
      </c>
      <c r="E121" s="42" t="s">
        <v>145</v>
      </c>
      <c r="F121" s="42" t="s">
        <v>356</v>
      </c>
      <c r="G121" s="42" t="s">
        <v>357</v>
      </c>
      <c r="H121" s="42" t="s">
        <v>349</v>
      </c>
      <c r="I121" s="42" t="s">
        <v>4</v>
      </c>
      <c r="J121" s="42" t="s">
        <v>358</v>
      </c>
      <c r="K121" s="44" t="s">
        <v>271</v>
      </c>
      <c r="L121" s="44" t="s">
        <v>272</v>
      </c>
      <c r="M121" s="45" t="s">
        <v>5</v>
      </c>
    </row>
    <row r="122" spans="1:15" ht="30" x14ac:dyDescent="0.25">
      <c r="A122" s="8"/>
      <c r="B122" s="63" t="str">
        <v>6.</v>
      </c>
      <c r="C122" s="41" t="s">
        <v>646</v>
      </c>
      <c r="D122" s="42" t="s">
        <v>341</v>
      </c>
      <c r="E122" s="42" t="s">
        <v>265</v>
      </c>
      <c r="F122" s="42" t="s">
        <v>342</v>
      </c>
      <c r="G122" s="42" t="s">
        <v>343</v>
      </c>
      <c r="H122" s="42" t="s">
        <v>349</v>
      </c>
      <c r="I122" s="42" t="s">
        <v>4</v>
      </c>
      <c r="J122" s="42" t="s">
        <v>268</v>
      </c>
      <c r="K122" s="44" t="s">
        <v>275</v>
      </c>
      <c r="L122" s="44" t="s">
        <v>275</v>
      </c>
      <c r="M122" s="45" t="s">
        <v>5</v>
      </c>
    </row>
    <row r="123" spans="1:15" ht="20.100000000000001" customHeight="1" thickBot="1" x14ac:dyDescent="0.3">
      <c r="A123" s="7"/>
      <c r="B123" s="70"/>
      <c r="C123" s="47"/>
      <c r="D123" s="48"/>
      <c r="E123" s="48"/>
      <c r="F123" s="48"/>
      <c r="G123" s="48"/>
      <c r="H123" s="48"/>
      <c r="I123" s="48"/>
      <c r="J123" s="48"/>
      <c r="K123" s="50"/>
      <c r="L123" s="50"/>
      <c r="M123" s="51"/>
    </row>
    <row r="124" spans="1:15" ht="20.100000000000001" customHeight="1" x14ac:dyDescent="0.25">
      <c r="A124" s="120" t="s">
        <v>359</v>
      </c>
      <c r="B124" s="121"/>
      <c r="C124" s="122"/>
      <c r="D124" s="210" t="s">
        <v>711</v>
      </c>
      <c r="E124" s="212"/>
      <c r="F124" s="210" t="s">
        <v>712</v>
      </c>
      <c r="G124" s="211"/>
      <c r="H124" s="212"/>
      <c r="I124" s="210" t="s">
        <v>722</v>
      </c>
      <c r="J124" s="211"/>
      <c r="K124" s="211"/>
      <c r="L124" s="211"/>
      <c r="M124" s="213"/>
    </row>
    <row r="125" spans="1:15" s="1" customFormat="1" ht="30" x14ac:dyDescent="0.25">
      <c r="A125" s="112" cm="1">
        <f t="array" ref="A125">IFERROR(MATCH(TRUE,ISBLANK(C126:C233),0)-1, COUNTA(C126:C233))</f>
        <v>8</v>
      </c>
      <c r="B125" s="113" t="s">
        <v>647</v>
      </c>
      <c r="C125" s="115"/>
      <c r="D125" s="145" t="s">
        <v>730</v>
      </c>
      <c r="E125" s="146" t="s">
        <v>731</v>
      </c>
      <c r="F125" s="161" t="s">
        <v>730</v>
      </c>
      <c r="G125" s="162"/>
      <c r="H125" s="146" t="s">
        <v>731</v>
      </c>
      <c r="I125" s="161" t="s">
        <v>730</v>
      </c>
      <c r="J125" s="162"/>
      <c r="K125" s="159" t="s">
        <v>731</v>
      </c>
      <c r="L125" s="159"/>
      <c r="M125" s="160"/>
      <c r="O125" s="5"/>
    </row>
    <row r="126" spans="1:15" ht="45" x14ac:dyDescent="0.25">
      <c r="A126" s="10"/>
      <c r="B126" s="34" t="str" cm="1">
        <f t="array" ref="B126:B133">_xlfn.SEQUENCE(A125)&amp;"."</f>
        <v>1.</v>
      </c>
      <c r="C126" s="35" t="s">
        <v>590</v>
      </c>
      <c r="D126" s="36" t="s">
        <v>360</v>
      </c>
      <c r="E126" s="36" t="s">
        <v>156</v>
      </c>
      <c r="F126" s="36" t="s">
        <v>361</v>
      </c>
      <c r="G126" s="36" t="s">
        <v>158</v>
      </c>
      <c r="H126" s="36" t="s">
        <v>159</v>
      </c>
      <c r="I126" s="37"/>
      <c r="J126" s="36" t="s">
        <v>199</v>
      </c>
      <c r="K126" s="38" t="s">
        <v>271</v>
      </c>
      <c r="L126" s="38" t="s">
        <v>275</v>
      </c>
      <c r="M126" s="39" t="s">
        <v>5</v>
      </c>
    </row>
    <row r="127" spans="1:15" ht="45" x14ac:dyDescent="0.25">
      <c r="A127" s="8"/>
      <c r="B127" s="63" t="str">
        <v>2.</v>
      </c>
      <c r="C127" s="41" t="s">
        <v>636</v>
      </c>
      <c r="D127" s="42" t="s">
        <v>362</v>
      </c>
      <c r="E127" s="42" t="s">
        <v>174</v>
      </c>
      <c r="F127" s="42" t="s">
        <v>363</v>
      </c>
      <c r="G127" s="42" t="s">
        <v>364</v>
      </c>
      <c r="H127" s="97" t="s">
        <v>365</v>
      </c>
      <c r="I127" s="43"/>
      <c r="J127" s="42" t="s">
        <v>366</v>
      </c>
      <c r="K127" s="44" t="s">
        <v>271</v>
      </c>
      <c r="L127" s="44" t="s">
        <v>275</v>
      </c>
      <c r="M127" s="45" t="s">
        <v>5</v>
      </c>
    </row>
    <row r="128" spans="1:15" ht="45" x14ac:dyDescent="0.25">
      <c r="A128" s="8"/>
      <c r="B128" s="63" t="str">
        <v>3.</v>
      </c>
      <c r="C128" s="41" t="s">
        <v>648</v>
      </c>
      <c r="D128" s="42" t="s">
        <v>367</v>
      </c>
      <c r="E128" s="42" t="s">
        <v>368</v>
      </c>
      <c r="F128" s="42" t="s">
        <v>369</v>
      </c>
      <c r="G128" s="42" t="s">
        <v>322</v>
      </c>
      <c r="H128" s="97" t="s">
        <v>365</v>
      </c>
      <c r="I128" s="43"/>
      <c r="J128" s="42" t="s">
        <v>370</v>
      </c>
      <c r="K128" s="44" t="s">
        <v>271</v>
      </c>
      <c r="L128" s="44" t="s">
        <v>272</v>
      </c>
      <c r="M128" s="45" t="s">
        <v>5</v>
      </c>
    </row>
    <row r="129" spans="1:15" ht="45" x14ac:dyDescent="0.25">
      <c r="A129" s="8"/>
      <c r="B129" s="63" t="str">
        <v>4.</v>
      </c>
      <c r="C129" s="41" t="s">
        <v>649</v>
      </c>
      <c r="D129" s="42" t="s">
        <v>371</v>
      </c>
      <c r="E129" s="42" t="s">
        <v>372</v>
      </c>
      <c r="F129" s="42" t="s">
        <v>373</v>
      </c>
      <c r="G129" s="42" t="s">
        <v>374</v>
      </c>
      <c r="H129" s="97" t="s">
        <v>365</v>
      </c>
      <c r="I129" s="43"/>
      <c r="J129" s="42" t="s">
        <v>375</v>
      </c>
      <c r="K129" s="44" t="s">
        <v>271</v>
      </c>
      <c r="L129" s="44" t="s">
        <v>272</v>
      </c>
      <c r="M129" s="45" t="s">
        <v>5</v>
      </c>
    </row>
    <row r="130" spans="1:15" ht="45" x14ac:dyDescent="0.25">
      <c r="A130" s="8"/>
      <c r="B130" s="63" t="str">
        <v>5.</v>
      </c>
      <c r="C130" s="41" t="s">
        <v>650</v>
      </c>
      <c r="D130" s="42" t="s">
        <v>376</v>
      </c>
      <c r="E130" s="42" t="s">
        <v>377</v>
      </c>
      <c r="F130" s="42" t="s">
        <v>378</v>
      </c>
      <c r="G130" s="42" t="s">
        <v>379</v>
      </c>
      <c r="H130" s="97" t="s">
        <v>365</v>
      </c>
      <c r="I130" s="43"/>
      <c r="J130" s="42" t="s">
        <v>380</v>
      </c>
      <c r="K130" s="44" t="s">
        <v>271</v>
      </c>
      <c r="L130" s="44" t="s">
        <v>272</v>
      </c>
      <c r="M130" s="45" t="s">
        <v>5</v>
      </c>
    </row>
    <row r="131" spans="1:15" ht="45" x14ac:dyDescent="0.25">
      <c r="A131" s="8"/>
      <c r="B131" s="63" t="str">
        <v>6.</v>
      </c>
      <c r="C131" s="41" t="s">
        <v>651</v>
      </c>
      <c r="D131" s="42" t="s">
        <v>329</v>
      </c>
      <c r="E131" s="42" t="s">
        <v>330</v>
      </c>
      <c r="F131" s="42" t="s">
        <v>331</v>
      </c>
      <c r="G131" s="42" t="s">
        <v>332</v>
      </c>
      <c r="H131" s="98" t="s">
        <v>381</v>
      </c>
      <c r="I131" s="43"/>
      <c r="J131" s="42" t="s">
        <v>382</v>
      </c>
      <c r="K131" s="44" t="s">
        <v>275</v>
      </c>
      <c r="L131" s="44" t="s">
        <v>275</v>
      </c>
      <c r="M131" s="45" t="s">
        <v>5</v>
      </c>
    </row>
    <row r="132" spans="1:15" ht="45" x14ac:dyDescent="0.25">
      <c r="A132" s="8"/>
      <c r="B132" s="63" t="str">
        <v>7.</v>
      </c>
      <c r="C132" s="41" t="s">
        <v>652</v>
      </c>
      <c r="D132" s="42" t="s">
        <v>383</v>
      </c>
      <c r="E132" s="42" t="s">
        <v>384</v>
      </c>
      <c r="F132" s="42" t="s">
        <v>385</v>
      </c>
      <c r="G132" s="42" t="s">
        <v>364</v>
      </c>
      <c r="H132" s="97" t="s">
        <v>365</v>
      </c>
      <c r="I132" s="43"/>
      <c r="J132" s="42" t="s">
        <v>386</v>
      </c>
      <c r="K132" s="44" t="s">
        <v>271</v>
      </c>
      <c r="L132" s="44" t="s">
        <v>272</v>
      </c>
      <c r="M132" s="45" t="s">
        <v>5</v>
      </c>
    </row>
    <row r="133" spans="1:15" ht="60" x14ac:dyDescent="0.25">
      <c r="A133" s="8"/>
      <c r="B133" s="63" t="str">
        <v>8.</v>
      </c>
      <c r="C133" s="41" t="s">
        <v>653</v>
      </c>
      <c r="D133" s="42" t="s">
        <v>387</v>
      </c>
      <c r="E133" s="42" t="s">
        <v>388</v>
      </c>
      <c r="F133" s="42" t="s">
        <v>389</v>
      </c>
      <c r="G133" s="42" t="s">
        <v>343</v>
      </c>
      <c r="H133" s="42" t="s">
        <v>390</v>
      </c>
      <c r="I133" s="43"/>
      <c r="J133" s="42" t="s">
        <v>391</v>
      </c>
      <c r="K133" s="44" t="s">
        <v>275</v>
      </c>
      <c r="L133" s="44" t="s">
        <v>275</v>
      </c>
      <c r="M133" s="45" t="s">
        <v>5</v>
      </c>
    </row>
    <row r="134" spans="1:15" x14ac:dyDescent="0.25">
      <c r="A134" s="9"/>
      <c r="B134" s="99"/>
      <c r="C134" s="66"/>
      <c r="D134" s="66"/>
      <c r="E134" s="66"/>
      <c r="F134" s="66"/>
      <c r="G134" s="66"/>
      <c r="H134" s="67"/>
      <c r="I134" s="66"/>
      <c r="J134" s="66"/>
      <c r="K134" s="68"/>
      <c r="L134" s="68"/>
      <c r="M134" s="69"/>
    </row>
    <row r="135" spans="1:15" s="1" customFormat="1" ht="30" x14ac:dyDescent="0.25">
      <c r="A135" s="112" cm="1">
        <f t="array" ref="A135">IFERROR(MATCH(TRUE,ISBLANK(C136:C242),0)-1, COUNTA(C136:C242))</f>
        <v>11</v>
      </c>
      <c r="B135" s="113" t="s">
        <v>654</v>
      </c>
      <c r="C135" s="115"/>
      <c r="D135" s="145" t="s">
        <v>730</v>
      </c>
      <c r="E135" s="146"/>
      <c r="F135" s="161" t="s">
        <v>730</v>
      </c>
      <c r="G135" s="162"/>
      <c r="H135" s="146" t="s">
        <v>731</v>
      </c>
      <c r="I135" s="161" t="s">
        <v>730</v>
      </c>
      <c r="J135" s="162"/>
      <c r="K135" s="159" t="s">
        <v>731</v>
      </c>
      <c r="L135" s="159"/>
      <c r="M135" s="160"/>
      <c r="O135" s="5"/>
    </row>
    <row r="136" spans="1:15" ht="45" x14ac:dyDescent="0.25">
      <c r="A136" s="10"/>
      <c r="B136" s="34" t="str" cm="1">
        <f t="array" ref="B136:B146">_xlfn.SEQUENCE(A135)&amp;"."</f>
        <v>1.</v>
      </c>
      <c r="C136" s="35" t="s">
        <v>590</v>
      </c>
      <c r="D136" s="36" t="s">
        <v>392</v>
      </c>
      <c r="E136" s="36" t="s">
        <v>156</v>
      </c>
      <c r="F136" s="36" t="s">
        <v>393</v>
      </c>
      <c r="G136" s="36" t="s">
        <v>158</v>
      </c>
      <c r="H136" s="37"/>
      <c r="I136" s="37"/>
      <c r="J136" s="36" t="s">
        <v>199</v>
      </c>
      <c r="K136" s="38" t="s">
        <v>271</v>
      </c>
      <c r="L136" s="38" t="s">
        <v>275</v>
      </c>
      <c r="M136" s="39"/>
    </row>
    <row r="137" spans="1:15" ht="45" x14ac:dyDescent="0.25">
      <c r="A137" s="8"/>
      <c r="B137" s="63" t="str">
        <v>2.</v>
      </c>
      <c r="C137" s="41" t="s">
        <v>655</v>
      </c>
      <c r="D137" s="42" t="s">
        <v>394</v>
      </c>
      <c r="E137" s="42" t="s">
        <v>395</v>
      </c>
      <c r="F137" s="42" t="s">
        <v>396</v>
      </c>
      <c r="G137" s="42" t="s">
        <v>397</v>
      </c>
      <c r="H137" s="98" t="s">
        <v>398</v>
      </c>
      <c r="I137" s="43"/>
      <c r="J137" s="42" t="s">
        <v>399</v>
      </c>
      <c r="K137" s="44"/>
      <c r="L137" s="44"/>
      <c r="M137" s="45"/>
    </row>
    <row r="138" spans="1:15" ht="45" x14ac:dyDescent="0.25">
      <c r="A138" s="8"/>
      <c r="B138" s="63" t="str">
        <v>3.</v>
      </c>
      <c r="C138" s="41" t="s">
        <v>656</v>
      </c>
      <c r="D138" s="42" t="s">
        <v>400</v>
      </c>
      <c r="E138" s="42" t="s">
        <v>401</v>
      </c>
      <c r="F138" s="42" t="s">
        <v>402</v>
      </c>
      <c r="G138" s="42" t="s">
        <v>403</v>
      </c>
      <c r="H138" s="98" t="s">
        <v>398</v>
      </c>
      <c r="I138" s="43"/>
      <c r="J138" s="42" t="s">
        <v>404</v>
      </c>
      <c r="K138" s="44"/>
      <c r="L138" s="44"/>
      <c r="M138" s="45"/>
    </row>
    <row r="139" spans="1:15" ht="45" x14ac:dyDescent="0.25">
      <c r="A139" s="8"/>
      <c r="B139" s="63" t="str">
        <v>4.</v>
      </c>
      <c r="C139" s="41" t="s">
        <v>657</v>
      </c>
      <c r="D139" s="42" t="s">
        <v>405</v>
      </c>
      <c r="E139" s="42" t="s">
        <v>325</v>
      </c>
      <c r="F139" s="42" t="s">
        <v>406</v>
      </c>
      <c r="G139" s="42" t="s">
        <v>407</v>
      </c>
      <c r="H139" s="98" t="s">
        <v>398</v>
      </c>
      <c r="I139" s="43"/>
      <c r="J139" s="42" t="s">
        <v>408</v>
      </c>
      <c r="K139" s="44"/>
      <c r="L139" s="44"/>
      <c r="M139" s="45"/>
    </row>
    <row r="140" spans="1:15" ht="45" x14ac:dyDescent="0.25">
      <c r="A140" s="8"/>
      <c r="B140" s="63" t="str">
        <v>5.</v>
      </c>
      <c r="C140" s="41" t="s">
        <v>658</v>
      </c>
      <c r="D140" s="42" t="s">
        <v>409</v>
      </c>
      <c r="E140" s="42" t="s">
        <v>174</v>
      </c>
      <c r="F140" s="42" t="s">
        <v>410</v>
      </c>
      <c r="G140" s="42" t="s">
        <v>411</v>
      </c>
      <c r="H140" s="98" t="s">
        <v>398</v>
      </c>
      <c r="I140" s="43"/>
      <c r="J140" s="42" t="s">
        <v>412</v>
      </c>
      <c r="K140" s="44"/>
      <c r="L140" s="44"/>
      <c r="M140" s="45"/>
    </row>
    <row r="141" spans="1:15" ht="45" x14ac:dyDescent="0.25">
      <c r="A141" s="8"/>
      <c r="B141" s="63" t="str">
        <v>6.</v>
      </c>
      <c r="C141" s="41" t="s">
        <v>659</v>
      </c>
      <c r="D141" s="42" t="s">
        <v>413</v>
      </c>
      <c r="E141" s="42" t="s">
        <v>414</v>
      </c>
      <c r="F141" s="42" t="s">
        <v>415</v>
      </c>
      <c r="G141" s="42" t="s">
        <v>416</v>
      </c>
      <c r="H141" s="98" t="s">
        <v>398</v>
      </c>
      <c r="I141" s="43"/>
      <c r="J141" s="42" t="s">
        <v>417</v>
      </c>
      <c r="K141" s="44"/>
      <c r="L141" s="44"/>
      <c r="M141" s="45"/>
    </row>
    <row r="142" spans="1:15" ht="45" x14ac:dyDescent="0.25">
      <c r="A142" s="8"/>
      <c r="B142" s="63" t="str">
        <v>7.</v>
      </c>
      <c r="C142" s="41" t="s">
        <v>660</v>
      </c>
      <c r="D142" s="42" t="s">
        <v>418</v>
      </c>
      <c r="E142" s="42" t="s">
        <v>384</v>
      </c>
      <c r="F142" s="42" t="s">
        <v>419</v>
      </c>
      <c r="G142" s="42" t="s">
        <v>411</v>
      </c>
      <c r="H142" s="98" t="s">
        <v>398</v>
      </c>
      <c r="I142" s="43"/>
      <c r="J142" s="42" t="s">
        <v>420</v>
      </c>
      <c r="K142" s="44"/>
      <c r="L142" s="44"/>
      <c r="M142" s="45"/>
    </row>
    <row r="143" spans="1:15" ht="45" x14ac:dyDescent="0.25">
      <c r="A143" s="8"/>
      <c r="B143" s="63" t="str">
        <v>8.</v>
      </c>
      <c r="C143" s="41" t="s">
        <v>661</v>
      </c>
      <c r="D143" s="42" t="s">
        <v>421</v>
      </c>
      <c r="E143" s="42" t="s">
        <v>325</v>
      </c>
      <c r="F143" s="42" t="s">
        <v>422</v>
      </c>
      <c r="G143" s="42" t="s">
        <v>423</v>
      </c>
      <c r="H143" s="98" t="s">
        <v>398</v>
      </c>
      <c r="I143" s="43"/>
      <c r="J143" s="42" t="s">
        <v>424</v>
      </c>
      <c r="K143" s="44"/>
      <c r="L143" s="44"/>
      <c r="M143" s="45"/>
    </row>
    <row r="144" spans="1:15" ht="45" x14ac:dyDescent="0.25">
      <c r="A144" s="8"/>
      <c r="B144" s="63" t="str">
        <v>9.</v>
      </c>
      <c r="C144" s="41" t="s">
        <v>662</v>
      </c>
      <c r="D144" s="42" t="s">
        <v>425</v>
      </c>
      <c r="E144" s="42" t="s">
        <v>426</v>
      </c>
      <c r="F144" s="42" t="s">
        <v>427</v>
      </c>
      <c r="G144" s="42" t="s">
        <v>428</v>
      </c>
      <c r="H144" s="98" t="s">
        <v>398</v>
      </c>
      <c r="I144" s="43"/>
      <c r="J144" s="42" t="s">
        <v>429</v>
      </c>
      <c r="K144" s="44"/>
      <c r="L144" s="44"/>
      <c r="M144" s="45"/>
    </row>
    <row r="145" spans="1:15" ht="45" x14ac:dyDescent="0.25">
      <c r="A145" s="8"/>
      <c r="B145" s="63" t="str">
        <v>10.</v>
      </c>
      <c r="C145" s="41" t="s">
        <v>663</v>
      </c>
      <c r="D145" s="42" t="s">
        <v>430</v>
      </c>
      <c r="E145" s="42" t="s">
        <v>384</v>
      </c>
      <c r="F145" s="42" t="s">
        <v>431</v>
      </c>
      <c r="G145" s="42" t="s">
        <v>428</v>
      </c>
      <c r="H145" s="98" t="s">
        <v>398</v>
      </c>
      <c r="I145" s="43"/>
      <c r="J145" s="42" t="s">
        <v>432</v>
      </c>
      <c r="K145" s="44"/>
      <c r="L145" s="44"/>
      <c r="M145" s="45"/>
    </row>
    <row r="146" spans="1:15" ht="60" x14ac:dyDescent="0.25">
      <c r="A146" s="8"/>
      <c r="B146" s="63" t="str">
        <v>11.</v>
      </c>
      <c r="C146" s="41" t="s">
        <v>664</v>
      </c>
      <c r="D146" s="42" t="s">
        <v>433</v>
      </c>
      <c r="E146" s="42" t="s">
        <v>265</v>
      </c>
      <c r="F146" s="42" t="s">
        <v>434</v>
      </c>
      <c r="G146" s="42" t="s">
        <v>428</v>
      </c>
      <c r="H146" s="42" t="s">
        <v>390</v>
      </c>
      <c r="I146" s="43"/>
      <c r="J146" s="42" t="s">
        <v>435</v>
      </c>
      <c r="K146" s="44"/>
      <c r="L146" s="44"/>
      <c r="M146" s="45"/>
    </row>
    <row r="147" spans="1:15" ht="10.5" customHeight="1" thickBot="1" x14ac:dyDescent="0.3">
      <c r="A147" s="7"/>
      <c r="B147" s="70"/>
      <c r="C147" s="47"/>
      <c r="D147" s="48"/>
      <c r="E147" s="48"/>
      <c r="F147" s="48"/>
      <c r="G147" s="48"/>
      <c r="H147" s="48"/>
      <c r="I147" s="100"/>
      <c r="J147" s="48"/>
      <c r="K147" s="50"/>
      <c r="L147" s="50"/>
      <c r="M147" s="51"/>
    </row>
    <row r="148" spans="1:15" ht="20.100000000000001" customHeight="1" x14ac:dyDescent="0.25">
      <c r="A148" s="120" t="s">
        <v>436</v>
      </c>
      <c r="B148" s="121"/>
      <c r="C148" s="122"/>
      <c r="D148" s="210" t="s">
        <v>711</v>
      </c>
      <c r="E148" s="212"/>
      <c r="F148" s="210" t="s">
        <v>712</v>
      </c>
      <c r="G148" s="211"/>
      <c r="H148" s="212"/>
      <c r="I148" s="210" t="s">
        <v>722</v>
      </c>
      <c r="J148" s="211"/>
      <c r="K148" s="211"/>
      <c r="L148" s="211"/>
      <c r="M148" s="213"/>
    </row>
    <row r="149" spans="1:15" s="1" customFormat="1" ht="30" x14ac:dyDescent="0.25">
      <c r="A149" s="112" cm="1">
        <f t="array" ref="A149">IFERROR(MATCH(TRUE,ISBLANK(C150:C255),0)-1, COUNTA(C150:C255))</f>
        <v>8</v>
      </c>
      <c r="B149" s="113" t="s">
        <v>665</v>
      </c>
      <c r="C149" s="115"/>
      <c r="D149" s="145" t="s">
        <v>730</v>
      </c>
      <c r="E149" s="146" t="s">
        <v>731</v>
      </c>
      <c r="F149" s="161" t="s">
        <v>730</v>
      </c>
      <c r="G149" s="162"/>
      <c r="H149" s="146" t="s">
        <v>731</v>
      </c>
      <c r="I149" s="161" t="s">
        <v>730</v>
      </c>
      <c r="J149" s="162"/>
      <c r="K149" s="158" t="s">
        <v>731</v>
      </c>
      <c r="L149" s="159"/>
      <c r="M149" s="160"/>
      <c r="O149" s="5"/>
    </row>
    <row r="150" spans="1:15" ht="60" x14ac:dyDescent="0.25">
      <c r="A150" s="10"/>
      <c r="B150" s="61" t="str" cm="1">
        <f t="array" ref="B150:B157">_xlfn.SEQUENCE(A149)&amp;"."</f>
        <v>1.</v>
      </c>
      <c r="C150" s="35" t="s">
        <v>590</v>
      </c>
      <c r="D150" s="36" t="s">
        <v>437</v>
      </c>
      <c r="E150" s="36" t="s">
        <v>156</v>
      </c>
      <c r="F150" s="36" t="s">
        <v>393</v>
      </c>
      <c r="G150" s="36" t="s">
        <v>158</v>
      </c>
      <c r="H150" s="36" t="s">
        <v>312</v>
      </c>
      <c r="I150" s="37"/>
      <c r="J150" s="36" t="s">
        <v>438</v>
      </c>
      <c r="K150" s="38"/>
      <c r="L150" s="38"/>
      <c r="M150" s="39"/>
    </row>
    <row r="151" spans="1:15" ht="30" x14ac:dyDescent="0.25">
      <c r="A151" s="8"/>
      <c r="B151" s="63" t="str">
        <v>2.</v>
      </c>
      <c r="C151" s="41" t="s">
        <v>636</v>
      </c>
      <c r="D151" s="42" t="s">
        <v>439</v>
      </c>
      <c r="E151" s="42" t="s">
        <v>174</v>
      </c>
      <c r="F151" s="42" t="s">
        <v>440</v>
      </c>
      <c r="G151" s="42" t="s">
        <v>364</v>
      </c>
      <c r="H151" s="98" t="s">
        <v>441</v>
      </c>
      <c r="I151" s="43"/>
      <c r="J151" s="42" t="s">
        <v>442</v>
      </c>
      <c r="K151" s="44"/>
      <c r="L151" s="44"/>
      <c r="M151" s="45"/>
    </row>
    <row r="152" spans="1:15" ht="45" x14ac:dyDescent="0.25">
      <c r="A152" s="8"/>
      <c r="B152" s="63" t="str">
        <v>3.</v>
      </c>
      <c r="C152" s="41" t="s">
        <v>666</v>
      </c>
      <c r="D152" s="42" t="s">
        <v>443</v>
      </c>
      <c r="E152" s="42" t="s">
        <v>325</v>
      </c>
      <c r="F152" s="42" t="s">
        <v>444</v>
      </c>
      <c r="G152" s="42" t="s">
        <v>379</v>
      </c>
      <c r="H152" s="98" t="s">
        <v>441</v>
      </c>
      <c r="I152" s="43"/>
      <c r="J152" s="42" t="s">
        <v>445</v>
      </c>
      <c r="K152" s="44"/>
      <c r="L152" s="44"/>
      <c r="M152" s="45"/>
    </row>
    <row r="153" spans="1:15" ht="60" x14ac:dyDescent="0.25">
      <c r="A153" s="8"/>
      <c r="B153" s="63" t="str">
        <v>4.</v>
      </c>
      <c r="C153" s="41" t="s">
        <v>667</v>
      </c>
      <c r="D153" s="42" t="s">
        <v>446</v>
      </c>
      <c r="E153" s="42" t="s">
        <v>447</v>
      </c>
      <c r="F153" s="42" t="s">
        <v>448</v>
      </c>
      <c r="G153" s="42" t="s">
        <v>449</v>
      </c>
      <c r="H153" s="98" t="s">
        <v>441</v>
      </c>
      <c r="I153" s="43"/>
      <c r="J153" s="42" t="s">
        <v>450</v>
      </c>
      <c r="K153" s="44"/>
      <c r="L153" s="44"/>
      <c r="M153" s="45"/>
    </row>
    <row r="154" spans="1:15" ht="45" x14ac:dyDescent="0.25">
      <c r="A154" s="8"/>
      <c r="B154" s="63" t="str">
        <v>5.</v>
      </c>
      <c r="C154" s="41" t="s">
        <v>668</v>
      </c>
      <c r="D154" s="42" t="s">
        <v>451</v>
      </c>
      <c r="E154" s="42" t="s">
        <v>452</v>
      </c>
      <c r="F154" s="42" t="s">
        <v>453</v>
      </c>
      <c r="G154" s="42" t="s">
        <v>454</v>
      </c>
      <c r="H154" s="98" t="s">
        <v>441</v>
      </c>
      <c r="I154" s="43"/>
      <c r="J154" s="42" t="s">
        <v>455</v>
      </c>
      <c r="K154" s="44"/>
      <c r="L154" s="44"/>
      <c r="M154" s="45"/>
    </row>
    <row r="155" spans="1:15" ht="45" x14ac:dyDescent="0.25">
      <c r="A155" s="8"/>
      <c r="B155" s="63" t="str">
        <v>6.</v>
      </c>
      <c r="C155" s="41" t="s">
        <v>669</v>
      </c>
      <c r="D155" s="42" t="s">
        <v>456</v>
      </c>
      <c r="E155" s="42" t="s">
        <v>384</v>
      </c>
      <c r="F155" s="42" t="s">
        <v>457</v>
      </c>
      <c r="G155" s="42" t="s">
        <v>364</v>
      </c>
      <c r="H155" s="98" t="s">
        <v>441</v>
      </c>
      <c r="I155" s="43"/>
      <c r="J155" s="42" t="s">
        <v>458</v>
      </c>
      <c r="K155" s="44"/>
      <c r="L155" s="44"/>
      <c r="M155" s="45"/>
    </row>
    <row r="156" spans="1:15" ht="45" x14ac:dyDescent="0.25">
      <c r="A156" s="8"/>
      <c r="B156" s="63" t="str">
        <v>7.</v>
      </c>
      <c r="C156" s="41" t="s">
        <v>670</v>
      </c>
      <c r="D156" s="42" t="s">
        <v>459</v>
      </c>
      <c r="E156" s="42" t="s">
        <v>388</v>
      </c>
      <c r="F156" s="42" t="s">
        <v>460</v>
      </c>
      <c r="G156" s="42" t="s">
        <v>343</v>
      </c>
      <c r="H156" s="98" t="s">
        <v>441</v>
      </c>
      <c r="I156" s="43"/>
      <c r="J156" s="42" t="s">
        <v>461</v>
      </c>
      <c r="K156" s="44"/>
      <c r="L156" s="44"/>
      <c r="M156" s="45"/>
    </row>
    <row r="157" spans="1:15" ht="45" x14ac:dyDescent="0.25">
      <c r="A157" s="8"/>
      <c r="B157" s="63" t="str">
        <v>8.</v>
      </c>
      <c r="C157" s="41" t="s">
        <v>616</v>
      </c>
      <c r="D157" s="42" t="s">
        <v>462</v>
      </c>
      <c r="E157" s="42" t="s">
        <v>265</v>
      </c>
      <c r="F157" s="42" t="s">
        <v>434</v>
      </c>
      <c r="G157" s="42" t="s">
        <v>111</v>
      </c>
      <c r="H157" s="42" t="s">
        <v>390</v>
      </c>
      <c r="I157" s="43"/>
      <c r="J157" s="42" t="s">
        <v>268</v>
      </c>
      <c r="K157" s="44"/>
      <c r="L157" s="44"/>
      <c r="M157" s="45"/>
    </row>
    <row r="158" spans="1:15" x14ac:dyDescent="0.25">
      <c r="A158" s="6"/>
      <c r="B158" s="84"/>
      <c r="C158" s="55"/>
      <c r="D158" s="56"/>
      <c r="E158" s="56"/>
      <c r="F158" s="56"/>
      <c r="G158" s="56"/>
      <c r="H158" s="57"/>
      <c r="I158" s="56"/>
      <c r="J158" s="56"/>
      <c r="K158" s="58"/>
      <c r="L158" s="58"/>
      <c r="M158" s="59"/>
    </row>
    <row r="159" spans="1:15" s="1" customFormat="1" ht="30" x14ac:dyDescent="0.25">
      <c r="A159" s="112" cm="1">
        <f t="array" ref="A159">IFERROR(MATCH(TRUE,ISBLANK(C160:C264),0)-1, COUNTA(C160:C264))</f>
        <v>9</v>
      </c>
      <c r="B159" s="113" t="s">
        <v>671</v>
      </c>
      <c r="C159" s="115"/>
      <c r="D159" s="145" t="s">
        <v>730</v>
      </c>
      <c r="E159" s="146" t="s">
        <v>731</v>
      </c>
      <c r="F159" s="161" t="s">
        <v>730</v>
      </c>
      <c r="G159" s="162"/>
      <c r="H159" s="146" t="s">
        <v>731</v>
      </c>
      <c r="I159" s="161" t="s">
        <v>730</v>
      </c>
      <c r="J159" s="162"/>
      <c r="K159" s="158" t="s">
        <v>731</v>
      </c>
      <c r="L159" s="159"/>
      <c r="M159" s="160"/>
      <c r="O159" s="5"/>
    </row>
    <row r="160" spans="1:15" ht="45" x14ac:dyDescent="0.25">
      <c r="A160" s="10"/>
      <c r="B160" s="61" t="str" cm="1">
        <f t="array" ref="B160:B168">_xlfn.SEQUENCE(A159)&amp;"."</f>
        <v>1.</v>
      </c>
      <c r="C160" s="101" t="s">
        <v>590</v>
      </c>
      <c r="D160" s="102" t="s">
        <v>463</v>
      </c>
      <c r="E160" s="102" t="s">
        <v>156</v>
      </c>
      <c r="F160" s="102" t="s">
        <v>393</v>
      </c>
      <c r="G160" s="102" t="s">
        <v>158</v>
      </c>
      <c r="H160" s="102" t="s">
        <v>464</v>
      </c>
      <c r="I160" s="37"/>
      <c r="J160" s="102" t="s">
        <v>465</v>
      </c>
      <c r="K160" s="38"/>
      <c r="L160" s="38"/>
      <c r="M160" s="39"/>
    </row>
    <row r="161" spans="1:15" ht="30" x14ac:dyDescent="0.25">
      <c r="A161" s="8"/>
      <c r="B161" s="63" t="str">
        <v>2.</v>
      </c>
      <c r="C161" s="103" t="s">
        <v>636</v>
      </c>
      <c r="D161" s="80" t="s">
        <v>466</v>
      </c>
      <c r="E161" s="80" t="s">
        <v>174</v>
      </c>
      <c r="F161" s="80" t="s">
        <v>467</v>
      </c>
      <c r="G161" s="80" t="s">
        <v>468</v>
      </c>
      <c r="H161" s="43"/>
      <c r="I161" s="43"/>
      <c r="J161" s="80" t="s">
        <v>469</v>
      </c>
      <c r="K161" s="44"/>
      <c r="L161" s="44"/>
      <c r="M161" s="45"/>
    </row>
    <row r="162" spans="1:15" ht="45" x14ac:dyDescent="0.25">
      <c r="A162" s="8"/>
      <c r="B162" s="63" t="str">
        <v>3.</v>
      </c>
      <c r="C162" s="103" t="s">
        <v>672</v>
      </c>
      <c r="D162" s="80" t="s">
        <v>470</v>
      </c>
      <c r="E162" s="80" t="s">
        <v>368</v>
      </c>
      <c r="F162" s="80" t="s">
        <v>471</v>
      </c>
      <c r="G162" s="80" t="s">
        <v>472</v>
      </c>
      <c r="H162" s="43"/>
      <c r="I162" s="43"/>
      <c r="J162" s="80" t="s">
        <v>473</v>
      </c>
      <c r="K162" s="44"/>
      <c r="L162" s="44"/>
      <c r="M162" s="45"/>
    </row>
    <row r="163" spans="1:15" ht="45" x14ac:dyDescent="0.25">
      <c r="A163" s="8"/>
      <c r="B163" s="63" t="str">
        <v>4.</v>
      </c>
      <c r="C163" s="103" t="s">
        <v>673</v>
      </c>
      <c r="D163" s="80" t="s">
        <v>474</v>
      </c>
      <c r="E163" s="80" t="s">
        <v>447</v>
      </c>
      <c r="F163" s="80" t="s">
        <v>475</v>
      </c>
      <c r="G163" s="80" t="s">
        <v>476</v>
      </c>
      <c r="H163" s="43"/>
      <c r="I163" s="43"/>
      <c r="J163" s="80" t="s">
        <v>477</v>
      </c>
      <c r="K163" s="44"/>
      <c r="L163" s="44"/>
      <c r="M163" s="45"/>
    </row>
    <row r="164" spans="1:15" ht="45" x14ac:dyDescent="0.25">
      <c r="A164" s="8"/>
      <c r="B164" s="63" t="str">
        <v>5.</v>
      </c>
      <c r="C164" s="103" t="s">
        <v>674</v>
      </c>
      <c r="D164" s="80" t="s">
        <v>478</v>
      </c>
      <c r="E164" s="80" t="s">
        <v>325</v>
      </c>
      <c r="F164" s="80" t="s">
        <v>479</v>
      </c>
      <c r="G164" s="80" t="s">
        <v>480</v>
      </c>
      <c r="H164" s="43"/>
      <c r="I164" s="43"/>
      <c r="J164" s="80" t="s">
        <v>481</v>
      </c>
      <c r="K164" s="44"/>
      <c r="L164" s="44"/>
      <c r="M164" s="45"/>
    </row>
    <row r="165" spans="1:15" ht="60" x14ac:dyDescent="0.25">
      <c r="A165" s="8"/>
      <c r="B165" s="63" t="str">
        <v>6.</v>
      </c>
      <c r="C165" s="103" t="s">
        <v>675</v>
      </c>
      <c r="D165" s="80" t="s">
        <v>482</v>
      </c>
      <c r="E165" s="80" t="s">
        <v>265</v>
      </c>
      <c r="F165" s="80" t="s">
        <v>483</v>
      </c>
      <c r="G165" s="80" t="s">
        <v>484</v>
      </c>
      <c r="H165" s="43"/>
      <c r="I165" s="43"/>
      <c r="J165" s="80" t="s">
        <v>485</v>
      </c>
      <c r="K165" s="44"/>
      <c r="L165" s="44"/>
      <c r="M165" s="45"/>
    </row>
    <row r="166" spans="1:15" ht="45" x14ac:dyDescent="0.25">
      <c r="A166" s="8"/>
      <c r="B166" s="63" t="str">
        <v>7.</v>
      </c>
      <c r="C166" s="103" t="s">
        <v>676</v>
      </c>
      <c r="D166" s="80" t="s">
        <v>486</v>
      </c>
      <c r="E166" s="80" t="s">
        <v>487</v>
      </c>
      <c r="F166" s="80" t="s">
        <v>488</v>
      </c>
      <c r="G166" s="80" t="s">
        <v>476</v>
      </c>
      <c r="H166" s="43"/>
      <c r="I166" s="43"/>
      <c r="J166" s="80" t="s">
        <v>489</v>
      </c>
      <c r="K166" s="44"/>
      <c r="L166" s="44"/>
      <c r="M166" s="45"/>
    </row>
    <row r="167" spans="1:15" ht="60" x14ac:dyDescent="0.25">
      <c r="A167" s="8"/>
      <c r="B167" s="63" t="str">
        <v>8.</v>
      </c>
      <c r="C167" s="103" t="s">
        <v>677</v>
      </c>
      <c r="D167" s="80" t="s">
        <v>490</v>
      </c>
      <c r="E167" s="80" t="s">
        <v>491</v>
      </c>
      <c r="F167" s="80" t="s">
        <v>492</v>
      </c>
      <c r="G167" s="80" t="s">
        <v>493</v>
      </c>
      <c r="H167" s="43"/>
      <c r="I167" s="43"/>
      <c r="J167" s="80" t="s">
        <v>494</v>
      </c>
      <c r="K167" s="44"/>
      <c r="L167" s="44"/>
      <c r="M167" s="45"/>
    </row>
    <row r="168" spans="1:15" ht="60" x14ac:dyDescent="0.25">
      <c r="A168" s="8"/>
      <c r="B168" s="63" t="str">
        <v>9.</v>
      </c>
      <c r="C168" s="103" t="s">
        <v>616</v>
      </c>
      <c r="D168" s="80" t="s">
        <v>495</v>
      </c>
      <c r="E168" s="80" t="s">
        <v>496</v>
      </c>
      <c r="F168" s="80" t="s">
        <v>497</v>
      </c>
      <c r="G168" s="80" t="s">
        <v>343</v>
      </c>
      <c r="H168" s="43"/>
      <c r="I168" s="43"/>
      <c r="J168" s="80" t="s">
        <v>435</v>
      </c>
      <c r="K168" s="44"/>
      <c r="L168" s="44"/>
      <c r="M168" s="45"/>
    </row>
    <row r="169" spans="1:15" x14ac:dyDescent="0.25">
      <c r="A169" s="6"/>
      <c r="B169" s="84"/>
      <c r="C169" s="55"/>
      <c r="D169" s="56"/>
      <c r="E169" s="56"/>
      <c r="F169" s="56"/>
      <c r="G169" s="56"/>
      <c r="H169" s="57"/>
      <c r="I169" s="56"/>
      <c r="J169" s="56"/>
      <c r="K169" s="58"/>
      <c r="L169" s="58"/>
      <c r="M169" s="59"/>
    </row>
    <row r="170" spans="1:15" s="1" customFormat="1" ht="30" x14ac:dyDescent="0.25">
      <c r="A170" s="112" cm="1">
        <f t="array" ref="A170">IFERROR(MATCH(TRUE,ISBLANK(C171:C274),0)-1, COUNTA(C171:C274))</f>
        <v>10</v>
      </c>
      <c r="B170" s="113" t="s">
        <v>678</v>
      </c>
      <c r="C170" s="115"/>
      <c r="D170" s="145" t="s">
        <v>730</v>
      </c>
      <c r="E170" s="146" t="s">
        <v>731</v>
      </c>
      <c r="F170" s="161" t="s">
        <v>730</v>
      </c>
      <c r="G170" s="162"/>
      <c r="H170" s="146" t="s">
        <v>731</v>
      </c>
      <c r="I170" s="161" t="s">
        <v>730</v>
      </c>
      <c r="J170" s="162"/>
      <c r="K170" s="158" t="s">
        <v>731</v>
      </c>
      <c r="L170" s="159"/>
      <c r="M170" s="160"/>
      <c r="O170" s="5"/>
    </row>
    <row r="171" spans="1:15" ht="60" x14ac:dyDescent="0.25">
      <c r="A171" s="10"/>
      <c r="B171" s="34" t="str" cm="1">
        <f t="array" ref="B171:B180">_xlfn.SEQUENCE(A170)&amp;"."</f>
        <v>1.</v>
      </c>
      <c r="C171" s="35" t="s">
        <v>590</v>
      </c>
      <c r="D171" s="36" t="s">
        <v>498</v>
      </c>
      <c r="E171" s="36" t="s">
        <v>156</v>
      </c>
      <c r="F171" s="36" t="s">
        <v>393</v>
      </c>
      <c r="G171" s="36" t="s">
        <v>158</v>
      </c>
      <c r="H171" s="37"/>
      <c r="I171" s="37"/>
      <c r="J171" s="36" t="s">
        <v>199</v>
      </c>
      <c r="K171" s="38"/>
      <c r="L171" s="38"/>
      <c r="M171" s="39"/>
    </row>
    <row r="172" spans="1:15" ht="30" x14ac:dyDescent="0.25">
      <c r="A172" s="8"/>
      <c r="B172" s="63" t="str">
        <v>2.</v>
      </c>
      <c r="C172" s="41" t="s">
        <v>636</v>
      </c>
      <c r="D172" s="42" t="s">
        <v>499</v>
      </c>
      <c r="E172" s="42" t="s">
        <v>174</v>
      </c>
      <c r="F172" s="42" t="s">
        <v>500</v>
      </c>
      <c r="G172" s="42" t="s">
        <v>364</v>
      </c>
      <c r="H172" s="43"/>
      <c r="I172" s="43"/>
      <c r="J172" s="42" t="s">
        <v>501</v>
      </c>
      <c r="K172" s="44"/>
      <c r="L172" s="44"/>
      <c r="M172" s="45"/>
    </row>
    <row r="173" spans="1:15" ht="45" x14ac:dyDescent="0.25">
      <c r="A173" s="8"/>
      <c r="B173" s="63" t="str">
        <v>3.</v>
      </c>
      <c r="C173" s="41" t="s">
        <v>679</v>
      </c>
      <c r="D173" s="42" t="s">
        <v>502</v>
      </c>
      <c r="E173" s="42" t="s">
        <v>368</v>
      </c>
      <c r="F173" s="42" t="s">
        <v>503</v>
      </c>
      <c r="G173" s="42" t="s">
        <v>504</v>
      </c>
      <c r="H173" s="43"/>
      <c r="I173" s="43"/>
      <c r="J173" s="42" t="s">
        <v>505</v>
      </c>
      <c r="K173" s="44"/>
      <c r="L173" s="44"/>
      <c r="M173" s="45"/>
    </row>
    <row r="174" spans="1:15" ht="45" x14ac:dyDescent="0.25">
      <c r="A174" s="8"/>
      <c r="B174" s="63" t="str">
        <v>4.</v>
      </c>
      <c r="C174" s="41" t="s">
        <v>673</v>
      </c>
      <c r="D174" s="42" t="s">
        <v>506</v>
      </c>
      <c r="E174" s="42" t="s">
        <v>447</v>
      </c>
      <c r="F174" s="42" t="s">
        <v>507</v>
      </c>
      <c r="G174" s="42" t="s">
        <v>476</v>
      </c>
      <c r="H174" s="43"/>
      <c r="I174" s="43"/>
      <c r="J174" s="42" t="s">
        <v>508</v>
      </c>
      <c r="K174" s="44"/>
      <c r="L174" s="44"/>
      <c r="M174" s="45"/>
    </row>
    <row r="175" spans="1:15" ht="45" x14ac:dyDescent="0.25">
      <c r="A175" s="8"/>
      <c r="B175" s="63" t="str">
        <v>5.</v>
      </c>
      <c r="C175" s="41" t="s">
        <v>680</v>
      </c>
      <c r="D175" s="42" t="s">
        <v>509</v>
      </c>
      <c r="E175" s="42" t="s">
        <v>325</v>
      </c>
      <c r="F175" s="42" t="s">
        <v>510</v>
      </c>
      <c r="G175" s="42" t="s">
        <v>511</v>
      </c>
      <c r="H175" s="43"/>
      <c r="I175" s="43"/>
      <c r="J175" s="42" t="s">
        <v>512</v>
      </c>
      <c r="K175" s="44"/>
      <c r="L175" s="44"/>
      <c r="M175" s="45"/>
    </row>
    <row r="176" spans="1:15" ht="45" x14ac:dyDescent="0.25">
      <c r="A176" s="8"/>
      <c r="B176" s="63" t="str">
        <v>6.</v>
      </c>
      <c r="C176" s="41" t="s">
        <v>681</v>
      </c>
      <c r="D176" s="42" t="s">
        <v>513</v>
      </c>
      <c r="E176" s="42" t="s">
        <v>265</v>
      </c>
      <c r="F176" s="42" t="s">
        <v>514</v>
      </c>
      <c r="G176" s="42" t="s">
        <v>484</v>
      </c>
      <c r="H176" s="43"/>
      <c r="I176" s="43"/>
      <c r="J176" s="42" t="s">
        <v>485</v>
      </c>
      <c r="K176" s="44"/>
      <c r="L176" s="44"/>
      <c r="M176" s="45"/>
    </row>
    <row r="177" spans="1:15" ht="45" x14ac:dyDescent="0.25">
      <c r="A177" s="8"/>
      <c r="B177" s="63" t="str">
        <v>7.</v>
      </c>
      <c r="C177" s="41" t="s">
        <v>682</v>
      </c>
      <c r="D177" s="42" t="s">
        <v>515</v>
      </c>
      <c r="E177" s="42" t="s">
        <v>516</v>
      </c>
      <c r="F177" s="42" t="s">
        <v>517</v>
      </c>
      <c r="G177" s="42" t="s">
        <v>518</v>
      </c>
      <c r="H177" s="43"/>
      <c r="I177" s="43"/>
      <c r="J177" s="42" t="s">
        <v>519</v>
      </c>
      <c r="K177" s="44"/>
      <c r="L177" s="44"/>
      <c r="M177" s="45"/>
    </row>
    <row r="178" spans="1:15" ht="45" x14ac:dyDescent="0.25">
      <c r="A178" s="8"/>
      <c r="B178" s="63" t="str">
        <v>8.</v>
      </c>
      <c r="C178" s="41" t="s">
        <v>683</v>
      </c>
      <c r="D178" s="42" t="s">
        <v>520</v>
      </c>
      <c r="E178" s="42" t="s">
        <v>521</v>
      </c>
      <c r="F178" s="42" t="s">
        <v>522</v>
      </c>
      <c r="G178" s="42" t="s">
        <v>518</v>
      </c>
      <c r="H178" s="43"/>
      <c r="I178" s="43"/>
      <c r="J178" s="42" t="s">
        <v>523</v>
      </c>
      <c r="K178" s="44"/>
      <c r="L178" s="44"/>
      <c r="M178" s="45"/>
    </row>
    <row r="179" spans="1:15" ht="45" x14ac:dyDescent="0.25">
      <c r="A179" s="8"/>
      <c r="B179" s="63" t="str">
        <v>9.</v>
      </c>
      <c r="C179" s="41" t="s">
        <v>684</v>
      </c>
      <c r="D179" s="42" t="s">
        <v>524</v>
      </c>
      <c r="E179" s="42" t="s">
        <v>525</v>
      </c>
      <c r="F179" s="42" t="s">
        <v>526</v>
      </c>
      <c r="G179" s="42" t="s">
        <v>527</v>
      </c>
      <c r="H179" s="43"/>
      <c r="I179" s="43"/>
      <c r="J179" s="42" t="s">
        <v>528</v>
      </c>
      <c r="K179" s="44"/>
      <c r="L179" s="44"/>
      <c r="M179" s="45"/>
    </row>
    <row r="180" spans="1:15" ht="45" x14ac:dyDescent="0.25">
      <c r="A180" s="8"/>
      <c r="B180" s="63" t="str">
        <v>10.</v>
      </c>
      <c r="C180" s="41" t="s">
        <v>685</v>
      </c>
      <c r="D180" s="42" t="s">
        <v>529</v>
      </c>
      <c r="E180" s="42" t="s">
        <v>384</v>
      </c>
      <c r="F180" s="42" t="s">
        <v>530</v>
      </c>
      <c r="G180" s="42" t="s">
        <v>343</v>
      </c>
      <c r="H180" s="43"/>
      <c r="I180" s="43"/>
      <c r="J180" s="42" t="s">
        <v>461</v>
      </c>
      <c r="K180" s="44"/>
      <c r="L180" s="44"/>
      <c r="M180" s="45"/>
    </row>
    <row r="181" spans="1:15" ht="15.75" thickBot="1" x14ac:dyDescent="0.3">
      <c r="A181" s="7"/>
      <c r="B181" s="100"/>
      <c r="C181" s="48"/>
      <c r="D181" s="48"/>
      <c r="E181" s="48"/>
      <c r="F181" s="48"/>
      <c r="G181" s="48"/>
      <c r="H181" s="49"/>
      <c r="I181" s="48"/>
      <c r="J181" s="48"/>
      <c r="K181" s="50"/>
      <c r="L181" s="50"/>
      <c r="M181" s="51"/>
    </row>
    <row r="182" spans="1:15" s="1" customFormat="1" ht="20.100000000000001" customHeight="1" x14ac:dyDescent="0.25">
      <c r="A182" s="123" t="s">
        <v>700</v>
      </c>
      <c r="B182" s="124"/>
      <c r="C182" s="125"/>
      <c r="D182" s="210" t="s">
        <v>711</v>
      </c>
      <c r="E182" s="212"/>
      <c r="F182" s="210" t="s">
        <v>712</v>
      </c>
      <c r="G182" s="211"/>
      <c r="H182" s="212"/>
      <c r="I182" s="210" t="s">
        <v>722</v>
      </c>
      <c r="J182" s="211"/>
      <c r="K182" s="211"/>
      <c r="L182" s="211"/>
      <c r="M182" s="213"/>
      <c r="O182" s="5"/>
    </row>
    <row r="183" spans="1:15" s="1" customFormat="1" ht="30" x14ac:dyDescent="0.25">
      <c r="A183" s="112" cm="1">
        <f t="array" ref="A183">IFERROR(MATCH(TRUE,ISBLANK(C184:C286),0)-1, COUNTA(C184:C286))</f>
        <v>13</v>
      </c>
      <c r="B183" s="113" t="s">
        <v>531</v>
      </c>
      <c r="C183" s="115"/>
      <c r="D183" s="145" t="s">
        <v>730</v>
      </c>
      <c r="E183" s="146" t="s">
        <v>731</v>
      </c>
      <c r="F183" s="161" t="s">
        <v>730</v>
      </c>
      <c r="G183" s="162"/>
      <c r="H183" s="146"/>
      <c r="I183" s="161" t="s">
        <v>730</v>
      </c>
      <c r="J183" s="162"/>
      <c r="K183" s="158" t="s">
        <v>731</v>
      </c>
      <c r="L183" s="159"/>
      <c r="M183" s="160"/>
      <c r="O183" s="5"/>
    </row>
    <row r="184" spans="1:15" ht="45" x14ac:dyDescent="0.25">
      <c r="A184" s="10"/>
      <c r="B184" s="34" t="str" cm="1">
        <f t="array" ref="B184:B196">_xlfn.SEQUENCE(A183)&amp;"."</f>
        <v>1.</v>
      </c>
      <c r="C184" s="35" t="s">
        <v>686</v>
      </c>
      <c r="D184" s="36" t="s">
        <v>532</v>
      </c>
      <c r="E184" s="36" t="s">
        <v>115</v>
      </c>
      <c r="F184" s="36" t="s">
        <v>533</v>
      </c>
      <c r="G184" s="36" t="s">
        <v>111</v>
      </c>
      <c r="H184" s="37"/>
      <c r="I184" s="37"/>
      <c r="J184" s="36" t="s">
        <v>534</v>
      </c>
      <c r="K184" s="38"/>
      <c r="L184" s="38"/>
      <c r="M184" s="39"/>
    </row>
    <row r="185" spans="1:15" ht="45" x14ac:dyDescent="0.25">
      <c r="A185" s="8"/>
      <c r="B185" s="63" t="str">
        <v>2.</v>
      </c>
      <c r="C185" s="41" t="s">
        <v>687</v>
      </c>
      <c r="D185" s="42" t="s">
        <v>535</v>
      </c>
      <c r="E185" s="42" t="s">
        <v>536</v>
      </c>
      <c r="F185" s="42" t="s">
        <v>537</v>
      </c>
      <c r="G185" s="42" t="s">
        <v>538</v>
      </c>
      <c r="H185" s="42" t="s">
        <v>539</v>
      </c>
      <c r="I185" s="43"/>
      <c r="J185" s="42" t="s">
        <v>540</v>
      </c>
      <c r="K185" s="44"/>
      <c r="L185" s="44"/>
      <c r="M185" s="45"/>
    </row>
    <row r="186" spans="1:15" ht="45" x14ac:dyDescent="0.25">
      <c r="A186" s="8"/>
      <c r="B186" s="63" t="str">
        <v>3.</v>
      </c>
      <c r="C186" s="41" t="s">
        <v>679</v>
      </c>
      <c r="D186" s="42" t="s">
        <v>541</v>
      </c>
      <c r="E186" s="42" t="s">
        <v>368</v>
      </c>
      <c r="F186" s="42" t="s">
        <v>542</v>
      </c>
      <c r="G186" s="42" t="s">
        <v>504</v>
      </c>
      <c r="H186" s="98" t="s">
        <v>543</v>
      </c>
      <c r="I186" s="42" t="s">
        <v>7</v>
      </c>
      <c r="J186" s="42" t="s">
        <v>505</v>
      </c>
      <c r="K186" s="44"/>
      <c r="L186" s="44"/>
      <c r="M186" s="45"/>
    </row>
    <row r="187" spans="1:15" ht="45" x14ac:dyDescent="0.25">
      <c r="A187" s="8"/>
      <c r="B187" s="63" t="str">
        <v>4.</v>
      </c>
      <c r="C187" s="41" t="s">
        <v>688</v>
      </c>
      <c r="D187" s="42" t="s">
        <v>544</v>
      </c>
      <c r="E187" s="42" t="s">
        <v>447</v>
      </c>
      <c r="F187" s="42" t="s">
        <v>545</v>
      </c>
      <c r="G187" s="42" t="s">
        <v>546</v>
      </c>
      <c r="H187" s="98" t="s">
        <v>543</v>
      </c>
      <c r="I187" s="42" t="s">
        <v>7</v>
      </c>
      <c r="J187" s="42" t="s">
        <v>547</v>
      </c>
      <c r="K187" s="44"/>
      <c r="L187" s="44"/>
      <c r="M187" s="45"/>
    </row>
    <row r="188" spans="1:15" ht="45" x14ac:dyDescent="0.25">
      <c r="A188" s="8"/>
      <c r="B188" s="63" t="str">
        <v>5.</v>
      </c>
      <c r="C188" s="41" t="s">
        <v>8</v>
      </c>
      <c r="D188" s="42" t="s">
        <v>548</v>
      </c>
      <c r="E188" s="42" t="s">
        <v>325</v>
      </c>
      <c r="F188" s="42" t="s">
        <v>549</v>
      </c>
      <c r="G188" s="42" t="s">
        <v>454</v>
      </c>
      <c r="H188" s="98" t="s">
        <v>543</v>
      </c>
      <c r="I188" s="42" t="s">
        <v>7</v>
      </c>
      <c r="J188" s="42" t="s">
        <v>550</v>
      </c>
      <c r="K188" s="44"/>
      <c r="L188" s="44"/>
      <c r="M188" s="45"/>
    </row>
    <row r="189" spans="1:15" ht="45" x14ac:dyDescent="0.25">
      <c r="A189" s="8"/>
      <c r="B189" s="63" t="str">
        <v>6.</v>
      </c>
      <c r="C189" s="41" t="s">
        <v>689</v>
      </c>
      <c r="D189" s="42" t="s">
        <v>551</v>
      </c>
      <c r="E189" s="42" t="s">
        <v>552</v>
      </c>
      <c r="F189" s="42" t="s">
        <v>553</v>
      </c>
      <c r="G189" s="42" t="s">
        <v>554</v>
      </c>
      <c r="H189" s="98" t="s">
        <v>543</v>
      </c>
      <c r="I189" s="42" t="s">
        <v>7</v>
      </c>
      <c r="J189" s="42" t="s">
        <v>555</v>
      </c>
      <c r="K189" s="44"/>
      <c r="L189" s="44"/>
      <c r="M189" s="45"/>
    </row>
    <row r="190" spans="1:15" ht="30" x14ac:dyDescent="0.25">
      <c r="A190" s="8"/>
      <c r="B190" s="63" t="str">
        <v>7.</v>
      </c>
      <c r="C190" s="41" t="s">
        <v>690</v>
      </c>
      <c r="D190" s="42" t="s">
        <v>556</v>
      </c>
      <c r="E190" s="42" t="s">
        <v>557</v>
      </c>
      <c r="F190" s="42" t="s">
        <v>558</v>
      </c>
      <c r="G190" s="42" t="s">
        <v>559</v>
      </c>
      <c r="H190" s="98" t="s">
        <v>543</v>
      </c>
      <c r="I190" s="42" t="s">
        <v>7</v>
      </c>
      <c r="J190" s="42" t="s">
        <v>560</v>
      </c>
      <c r="K190" s="44"/>
      <c r="L190" s="44"/>
      <c r="M190" s="45"/>
    </row>
    <row r="191" spans="1:15" ht="45" x14ac:dyDescent="0.25">
      <c r="A191" s="8"/>
      <c r="B191" s="63" t="str">
        <v>8.</v>
      </c>
      <c r="C191" s="41" t="s">
        <v>691</v>
      </c>
      <c r="D191" s="42" t="s">
        <v>561</v>
      </c>
      <c r="E191" s="42" t="s">
        <v>384</v>
      </c>
      <c r="F191" s="42" t="s">
        <v>562</v>
      </c>
      <c r="G191" s="42" t="s">
        <v>563</v>
      </c>
      <c r="H191" s="98" t="s">
        <v>543</v>
      </c>
      <c r="I191" s="42" t="s">
        <v>7</v>
      </c>
      <c r="J191" s="42" t="s">
        <v>564</v>
      </c>
      <c r="K191" s="44"/>
      <c r="L191" s="44"/>
      <c r="M191" s="45"/>
    </row>
    <row r="192" spans="1:15" ht="60" x14ac:dyDescent="0.25">
      <c r="A192" s="8"/>
      <c r="B192" s="63" t="str">
        <v>9.</v>
      </c>
      <c r="C192" s="41" t="s">
        <v>692</v>
      </c>
      <c r="D192" s="42" t="s">
        <v>565</v>
      </c>
      <c r="E192" s="42" t="s">
        <v>265</v>
      </c>
      <c r="F192" s="42" t="s">
        <v>566</v>
      </c>
      <c r="G192" s="42" t="s">
        <v>567</v>
      </c>
      <c r="H192" s="98" t="s">
        <v>543</v>
      </c>
      <c r="I192" s="42" t="s">
        <v>7</v>
      </c>
      <c r="J192" s="42" t="s">
        <v>485</v>
      </c>
      <c r="K192" s="44"/>
      <c r="L192" s="44"/>
      <c r="M192" s="45"/>
    </row>
    <row r="193" spans="1:15" ht="45" x14ac:dyDescent="0.25">
      <c r="A193" s="8"/>
      <c r="B193" s="63" t="str">
        <v>10.</v>
      </c>
      <c r="C193" s="41" t="s">
        <v>693</v>
      </c>
      <c r="D193" s="42" t="s">
        <v>568</v>
      </c>
      <c r="E193" s="42" t="s">
        <v>569</v>
      </c>
      <c r="F193" s="42" t="s">
        <v>570</v>
      </c>
      <c r="G193" s="42" t="s">
        <v>449</v>
      </c>
      <c r="H193" s="98" t="s">
        <v>543</v>
      </c>
      <c r="I193" s="42" t="s">
        <v>7</v>
      </c>
      <c r="J193" s="42" t="s">
        <v>571</v>
      </c>
      <c r="K193" s="44"/>
      <c r="L193" s="44"/>
      <c r="M193" s="45"/>
    </row>
    <row r="194" spans="1:15" ht="30" x14ac:dyDescent="0.25">
      <c r="A194" s="8"/>
      <c r="B194" s="63" t="str">
        <v>11.</v>
      </c>
      <c r="C194" s="41" t="s">
        <v>694</v>
      </c>
      <c r="D194" s="42" t="s">
        <v>572</v>
      </c>
      <c r="E194" s="42" t="s">
        <v>573</v>
      </c>
      <c r="F194" s="42" t="s">
        <v>574</v>
      </c>
      <c r="G194" s="42" t="s">
        <v>575</v>
      </c>
      <c r="H194" s="98" t="s">
        <v>543</v>
      </c>
      <c r="I194" s="42" t="s">
        <v>7</v>
      </c>
      <c r="J194" s="42" t="s">
        <v>576</v>
      </c>
      <c r="K194" s="44"/>
      <c r="L194" s="44"/>
      <c r="M194" s="45"/>
    </row>
    <row r="195" spans="1:15" ht="45" x14ac:dyDescent="0.25">
      <c r="A195" s="8"/>
      <c r="B195" s="63" t="str">
        <v>12.</v>
      </c>
      <c r="C195" s="41" t="s">
        <v>695</v>
      </c>
      <c r="D195" s="42" t="s">
        <v>456</v>
      </c>
      <c r="E195" s="42" t="s">
        <v>525</v>
      </c>
      <c r="F195" s="42" t="s">
        <v>577</v>
      </c>
      <c r="G195" s="42" t="s">
        <v>527</v>
      </c>
      <c r="H195" s="98" t="s">
        <v>543</v>
      </c>
      <c r="I195" s="42" t="s">
        <v>7</v>
      </c>
      <c r="J195" s="42" t="s">
        <v>528</v>
      </c>
      <c r="K195" s="44"/>
      <c r="L195" s="44"/>
      <c r="M195" s="45"/>
    </row>
    <row r="196" spans="1:15" ht="45.75" thickBot="1" x14ac:dyDescent="0.3">
      <c r="A196" s="7"/>
      <c r="B196" s="70" t="str">
        <v>13.</v>
      </c>
      <c r="C196" s="47" t="s">
        <v>696</v>
      </c>
      <c r="D196" s="48" t="s">
        <v>578</v>
      </c>
      <c r="E196" s="48" t="s">
        <v>265</v>
      </c>
      <c r="F196" s="48" t="s">
        <v>579</v>
      </c>
      <c r="G196" s="48" t="s">
        <v>111</v>
      </c>
      <c r="H196" s="48" t="s">
        <v>390</v>
      </c>
      <c r="I196" s="100"/>
      <c r="J196" s="48" t="s">
        <v>268</v>
      </c>
      <c r="K196" s="50"/>
      <c r="L196" s="50"/>
      <c r="M196" s="51"/>
    </row>
    <row r="197" spans="1:15" ht="9.75" customHeight="1" thickBot="1" x14ac:dyDescent="0.3">
      <c r="A197" s="137"/>
      <c r="B197" s="138"/>
      <c r="C197" s="139"/>
      <c r="D197" s="139"/>
      <c r="E197" s="139"/>
      <c r="F197" s="139"/>
      <c r="G197" s="139"/>
      <c r="H197" s="139"/>
      <c r="I197" s="138"/>
      <c r="J197" s="139"/>
      <c r="K197" s="140"/>
      <c r="L197" s="140"/>
      <c r="M197" s="140"/>
    </row>
    <row r="198" spans="1:15" ht="20.100000000000001" customHeight="1" thickBot="1" x14ac:dyDescent="0.3">
      <c r="A198" s="143" t="s">
        <v>743</v>
      </c>
      <c r="B198" s="141"/>
      <c r="C198" s="142"/>
      <c r="D198" s="142"/>
      <c r="E198" s="144" t="str" cm="1">
        <f t="array" ref="E198">SUMPRODUCT(IFERROR(VALUE(LEFT(E18:E183,FIND("/",E18:E183)-1)),0))&amp;"/"&amp;SUMPRODUCT(IFERROR(VALUE(RIGHT(E18:E183,FIND("/",E18:E183)-1)),0))</f>
        <v>0/0</v>
      </c>
      <c r="F198" s="142"/>
      <c r="G198" s="142"/>
      <c r="H198" s="144" t="str" cm="1">
        <f t="array" ref="H198">SUMPRODUCT(IFERROR(VALUE(LEFT(H18:H183,FIND("/",H18:H183)-1)),0))&amp;"/"&amp;SUMPRODUCT(IFERROR(VALUE(RIGHT(H18:H183,FIND("/",H18:H183)-1)),0))</f>
        <v>0/0</v>
      </c>
      <c r="I198" s="142"/>
      <c r="J198" s="142"/>
      <c r="K198" s="220" t="str" cm="1">
        <f t="array" ref="K198">SUMPRODUCT(IFERROR(VALUE(LEFT(K18:K183,FIND("/",K18:K183)-1)),0))&amp;"/"&amp;SUMPRODUCT(IFERROR(VALUE(RIGHT(K18:K183,FIND("/",K18:K183)-1)),0))</f>
        <v>0/0</v>
      </c>
      <c r="L198" s="220" t="str" cm="1">
        <f t="array" ref="L198">SUMPRODUCT(IFERROR(VALUE(LEFT(L18:L41,FIND("/",L18:L183)-1)),0))&amp;"/"&amp;SUMPRODUCT(IFERROR(VALUE(RIGHT(L18:L41,FIND("/",L18:L183)-1)),0))</f>
        <v>0/0</v>
      </c>
      <c r="M198" s="221" t="str" cm="1">
        <f t="array" ref="M198">SUMPRODUCT(IFERROR(VALUE(LEFT(M18:M41,FIND("/",M18:M183)-1)),0))&amp;"/"&amp;SUMPRODUCT(IFERROR(VALUE(RIGHT(M18:M41,FIND("/",M18:M183)-1)),0))</f>
        <v>0/0</v>
      </c>
    </row>
    <row r="199" spans="1:15" s="150" customFormat="1" x14ac:dyDescent="0.25">
      <c r="A199" s="148"/>
      <c r="B199" s="149"/>
      <c r="K199" s="151"/>
      <c r="L199" s="151"/>
      <c r="M199" s="151"/>
      <c r="O199" s="152"/>
    </row>
    <row r="200" spans="1:15" s="150" customFormat="1" ht="20.100000000000001" customHeight="1" x14ac:dyDescent="0.25">
      <c r="A200" s="153" t="s">
        <v>746</v>
      </c>
      <c r="B200" s="149"/>
      <c r="K200" s="151"/>
      <c r="L200" s="151"/>
      <c r="M200" s="151"/>
      <c r="O200" s="152"/>
    </row>
    <row r="201" spans="1:15" s="150" customFormat="1" x14ac:dyDescent="0.25">
      <c r="A201" s="148"/>
      <c r="B201" s="149"/>
      <c r="K201" s="151"/>
      <c r="L201" s="151"/>
      <c r="M201" s="151"/>
      <c r="O201" s="152"/>
    </row>
    <row r="202" spans="1:15" s="150" customFormat="1" x14ac:dyDescent="0.25">
      <c r="A202" s="148"/>
      <c r="B202" s="149"/>
      <c r="K202" s="151"/>
      <c r="L202" s="151"/>
      <c r="M202" s="151"/>
      <c r="O202" s="152"/>
    </row>
    <row r="203" spans="1:15" s="150" customFormat="1" x14ac:dyDescent="0.25">
      <c r="A203" s="155" t="s">
        <v>747</v>
      </c>
      <c r="B203" s="149"/>
      <c r="K203" s="151"/>
      <c r="L203" s="151"/>
      <c r="M203" s="151"/>
      <c r="O203" s="152"/>
    </row>
    <row r="204" spans="1:15" s="150" customFormat="1" ht="20.100000000000001" customHeight="1" x14ac:dyDescent="0.25">
      <c r="A204" s="154" t="s">
        <v>748</v>
      </c>
      <c r="B204" s="149"/>
      <c r="K204" s="151"/>
      <c r="L204" s="151"/>
      <c r="M204" s="151"/>
      <c r="O204" s="152"/>
    </row>
    <row r="205" spans="1:15" s="150" customFormat="1" x14ac:dyDescent="0.25">
      <c r="A205" s="148"/>
      <c r="B205" s="149"/>
      <c r="K205" s="151"/>
      <c r="L205" s="151"/>
      <c r="M205" s="151"/>
      <c r="O205" s="152"/>
    </row>
    <row r="206" spans="1:15" s="150" customFormat="1" x14ac:dyDescent="0.25">
      <c r="A206" s="148"/>
      <c r="B206" s="149"/>
      <c r="K206" s="151"/>
      <c r="L206" s="151"/>
      <c r="M206" s="151"/>
      <c r="O206" s="152"/>
    </row>
    <row r="207" spans="1:15" s="150" customFormat="1" x14ac:dyDescent="0.25">
      <c r="A207" s="148"/>
      <c r="B207" s="149"/>
      <c r="K207" s="151"/>
      <c r="L207" s="151"/>
      <c r="M207" s="151"/>
      <c r="O207" s="152"/>
    </row>
    <row r="208" spans="1:15" s="150" customFormat="1" x14ac:dyDescent="0.25">
      <c r="A208" s="148"/>
      <c r="B208" s="149"/>
      <c r="K208" s="151"/>
      <c r="L208" s="151"/>
      <c r="M208" s="151"/>
      <c r="O208" s="152"/>
    </row>
    <row r="209" spans="1:15" s="150" customFormat="1" x14ac:dyDescent="0.25">
      <c r="A209" s="148"/>
      <c r="B209" s="149"/>
      <c r="K209" s="151"/>
      <c r="L209" s="151"/>
      <c r="M209" s="151"/>
      <c r="O209" s="152"/>
    </row>
    <row r="210" spans="1:15" s="150" customFormat="1" x14ac:dyDescent="0.25">
      <c r="A210" s="148"/>
      <c r="B210" s="149"/>
      <c r="K210" s="151"/>
      <c r="L210" s="151"/>
      <c r="M210" s="151"/>
      <c r="O210" s="152"/>
    </row>
    <row r="211" spans="1:15" s="150" customFormat="1" x14ac:dyDescent="0.25">
      <c r="A211" s="148"/>
      <c r="B211" s="149"/>
      <c r="K211" s="151"/>
      <c r="L211" s="151"/>
      <c r="M211" s="151"/>
      <c r="O211" s="152"/>
    </row>
    <row r="212" spans="1:15" s="150" customFormat="1" x14ac:dyDescent="0.25">
      <c r="A212" s="148"/>
      <c r="B212" s="149"/>
      <c r="K212" s="151"/>
      <c r="L212" s="151"/>
      <c r="M212" s="151"/>
      <c r="O212" s="152"/>
    </row>
  </sheetData>
  <sheetProtection sheet="1" formatCells="0" formatColumns="0" formatRows="0" insertRows="0" selectLockedCells="1" sort="0" autoFilter="0"/>
  <mergeCells count="99">
    <mergeCell ref="K198:M198"/>
    <mergeCell ref="D105:E105"/>
    <mergeCell ref="J7:M7"/>
    <mergeCell ref="F124:H124"/>
    <mergeCell ref="I124:M124"/>
    <mergeCell ref="F105:H105"/>
    <mergeCell ref="I105:M105"/>
    <mergeCell ref="D124:E124"/>
    <mergeCell ref="D148:E148"/>
    <mergeCell ref="F148:H148"/>
    <mergeCell ref="I148:M148"/>
    <mergeCell ref="D182:E182"/>
    <mergeCell ref="F182:H182"/>
    <mergeCell ref="I182:M182"/>
    <mergeCell ref="F149:G149"/>
    <mergeCell ref="D29:E29"/>
    <mergeCell ref="B16:C16"/>
    <mergeCell ref="D17:E17"/>
    <mergeCell ref="F17:H17"/>
    <mergeCell ref="I17:M17"/>
    <mergeCell ref="F18:G18"/>
    <mergeCell ref="I18:J18"/>
    <mergeCell ref="K18:M18"/>
    <mergeCell ref="F29:H29"/>
    <mergeCell ref="I29:M29"/>
    <mergeCell ref="D64:E64"/>
    <mergeCell ref="F64:H64"/>
    <mergeCell ref="I64:M64"/>
    <mergeCell ref="I30:J30"/>
    <mergeCell ref="F30:G30"/>
    <mergeCell ref="K30:M30"/>
    <mergeCell ref="F41:G41"/>
    <mergeCell ref="F52:G52"/>
    <mergeCell ref="I41:J41"/>
    <mergeCell ref="I52:J52"/>
    <mergeCell ref="K41:M41"/>
    <mergeCell ref="K52:M52"/>
    <mergeCell ref="K3:M3"/>
    <mergeCell ref="K2:M2"/>
    <mergeCell ref="K1:M1"/>
    <mergeCell ref="K4:M4"/>
    <mergeCell ref="A1:D4"/>
    <mergeCell ref="E1:H2"/>
    <mergeCell ref="F3:H3"/>
    <mergeCell ref="F4:H4"/>
    <mergeCell ref="K15:M15"/>
    <mergeCell ref="A15:D15"/>
    <mergeCell ref="H15:J15"/>
    <mergeCell ref="E15:G15"/>
    <mergeCell ref="A5:M5"/>
    <mergeCell ref="G8:H8"/>
    <mergeCell ref="J8:M8"/>
    <mergeCell ref="A6:C6"/>
    <mergeCell ref="A7:C7"/>
    <mergeCell ref="A8:C8"/>
    <mergeCell ref="G6:H6"/>
    <mergeCell ref="G7:H7"/>
    <mergeCell ref="E6:F6"/>
    <mergeCell ref="E7:F7"/>
    <mergeCell ref="E8:F8"/>
    <mergeCell ref="J6:M6"/>
    <mergeCell ref="F65:G65"/>
    <mergeCell ref="I65:J65"/>
    <mergeCell ref="I66:J66"/>
    <mergeCell ref="I77:J77"/>
    <mergeCell ref="I86:J86"/>
    <mergeCell ref="I97:J97"/>
    <mergeCell ref="F66:G66"/>
    <mergeCell ref="F77:G77"/>
    <mergeCell ref="F86:G86"/>
    <mergeCell ref="F97:G97"/>
    <mergeCell ref="K65:M65"/>
    <mergeCell ref="K66:M66"/>
    <mergeCell ref="K77:M77"/>
    <mergeCell ref="K86:M86"/>
    <mergeCell ref="K97:M97"/>
    <mergeCell ref="I106:J106"/>
    <mergeCell ref="I116:J116"/>
    <mergeCell ref="F106:G106"/>
    <mergeCell ref="F116:G116"/>
    <mergeCell ref="K106:M106"/>
    <mergeCell ref="K116:M116"/>
    <mergeCell ref="I125:J125"/>
    <mergeCell ref="I135:J135"/>
    <mergeCell ref="F125:G125"/>
    <mergeCell ref="F135:G135"/>
    <mergeCell ref="K125:M125"/>
    <mergeCell ref="K135:M135"/>
    <mergeCell ref="K149:M149"/>
    <mergeCell ref="K159:M159"/>
    <mergeCell ref="K170:M170"/>
    <mergeCell ref="F183:G183"/>
    <mergeCell ref="I183:J183"/>
    <mergeCell ref="K183:M183"/>
    <mergeCell ref="F159:G159"/>
    <mergeCell ref="F170:G170"/>
    <mergeCell ref="I149:J149"/>
    <mergeCell ref="I159:J159"/>
    <mergeCell ref="I170:J170"/>
  </mergeCells>
  <hyperlinks>
    <hyperlink ref="H32" r:id="rId1" xr:uid="{25715A56-0F4F-4663-9C2E-8F2A834BB993}"/>
  </hyperlinks>
  <printOptions horizontalCentered="1"/>
  <pageMargins left="0.45" right="0.45" top="0.35" bottom="0.25" header="0.3" footer="0.3"/>
  <pageSetup paperSize="8" orientation="landscape" r:id="rId2"/>
  <drawing r:id="rId3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49087F-E54C-470B-95DF-A991DE50A2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ITPF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virtron bumal-o</dc:creator>
  <cp:lastModifiedBy>virtron bumal-o</cp:lastModifiedBy>
  <cp:lastPrinted>2025-10-27T06:14:36Z</cp:lastPrinted>
  <dcterms:created xsi:type="dcterms:W3CDTF">2015-06-05T18:17:20Z</dcterms:created>
  <dcterms:modified xsi:type="dcterms:W3CDTF">2026-08-26T08:36:25Z</dcterms:modified>
</cp:coreProperties>
</file>